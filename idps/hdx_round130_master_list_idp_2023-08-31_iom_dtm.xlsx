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.sharepoint.com/teams/dtmimteamhq/Shared Documents/Resources/Iraq/2023/Round 130/HDX/"/>
    </mc:Choice>
  </mc:AlternateContent>
  <xr:revisionPtr revIDLastSave="86" documentId="8_{9543634C-AAAD-4BC1-85A2-AC0AAFA51C52}" xr6:coauthVersionLast="47" xr6:coauthVersionMax="47" xr10:uidLastSave="{D4BCF519-E5DF-4402-8DA4-C32133B0ECA5}"/>
  <bookViews>
    <workbookView xWindow="28680" yWindow="-120" windowWidth="29040" windowHeight="15840" activeTab="2" xr2:uid="{A5E11309-C34E-495B-AEDA-8A7F70988A7F}"/>
  </bookViews>
  <sheets>
    <sheet name="Round 130" sheetId="6" r:id="rId1"/>
    <sheet name="Summary" sheetId="3" r:id="rId2"/>
    <sheet name="Dataset Admin2" sheetId="14" r:id="rId3"/>
    <sheet name="Period of Displacement" sheetId="4" r:id="rId4"/>
    <sheet name="Shelter Type" sheetId="5" r:id="rId5"/>
  </sheets>
  <definedNames>
    <definedName name="District_of_Displacement">Summary!$A$93:$D$199</definedName>
    <definedName name="Governorate_of_Origin">Summary!$A$30:$K$51</definedName>
    <definedName name="IDP_Per_of_Disp_and_Gov_of_Dis">Summary!$A$53:$K$74</definedName>
    <definedName name="Period_of_Displacement">Summary!$A$76:$D$91</definedName>
    <definedName name="Shelter_Type">Summary!$A$7:$N$28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0" i="5" l="1"/>
  <c r="H61" i="5"/>
  <c r="H62" i="5"/>
  <c r="H63" i="5"/>
  <c r="X60" i="5" l="1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59" i="5"/>
  <c r="U76" i="5" l="1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Y60" i="5" l="1"/>
  <c r="Y62" i="5"/>
  <c r="Y64" i="5"/>
  <c r="Y66" i="5"/>
  <c r="Y68" i="5"/>
  <c r="Y70" i="5"/>
  <c r="Y72" i="5"/>
  <c r="Y74" i="5"/>
  <c r="Y76" i="5"/>
  <c r="Y61" i="5"/>
  <c r="Y63" i="5"/>
  <c r="Y65" i="5"/>
  <c r="Y67" i="5"/>
  <c r="Y69" i="5"/>
  <c r="Y71" i="5"/>
  <c r="Y73" i="5"/>
  <c r="Y75" i="5"/>
  <c r="Y59" i="5"/>
  <c r="V62" i="5"/>
  <c r="V70" i="5"/>
  <c r="V75" i="5"/>
  <c r="V65" i="5"/>
  <c r="V73" i="5"/>
  <c r="V67" i="5"/>
  <c r="V60" i="5"/>
  <c r="V68" i="5"/>
  <c r="V76" i="5"/>
  <c r="V63" i="5"/>
  <c r="V71" i="5"/>
  <c r="V66" i="5"/>
  <c r="V74" i="5"/>
  <c r="V61" i="5"/>
  <c r="V69" i="5"/>
  <c r="V64" i="5"/>
  <c r="V72" i="5"/>
  <c r="V59" i="5"/>
  <c r="B29" i="3" l="1"/>
</calcChain>
</file>

<file path=xl/sharedStrings.xml><?xml version="1.0" encoding="utf-8"?>
<sst xmlns="http://schemas.openxmlformats.org/spreadsheetml/2006/main" count="767" uniqueCount="328">
  <si>
    <t>Governorate</t>
  </si>
  <si>
    <t>District</t>
  </si>
  <si>
    <t>Individuals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</si>
  <si>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</si>
  <si>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</si>
  <si>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</si>
  <si>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</si>
  <si>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</si>
  <si>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</si>
  <si>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</si>
  <si>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</si>
  <si>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</si>
  <si>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</si>
  <si>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</si>
  <si>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</si>
  <si>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</si>
  <si>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</si>
  <si>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</si>
  <si>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</si>
  <si>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</si>
  <si>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</si>
  <si>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>Camp</t>
  </si>
  <si>
    <t>Host families</t>
  </si>
  <si>
    <t>Hotel/Motel or short-term rental</t>
  </si>
  <si>
    <t>Religious building</t>
  </si>
  <si>
    <t>School building</t>
  </si>
  <si>
    <t>Unfinished/Abandoned building</t>
  </si>
  <si>
    <t>Unknown shelter type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</si>
  <si>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</si>
  <si>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</si>
  <si>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</si>
  <si>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</si>
  <si>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</si>
  <si>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>July 17</t>
  </si>
  <si>
    <t>Al-Rutba</t>
  </si>
  <si>
    <t>Ana</t>
  </si>
  <si>
    <t>Falluja</t>
  </si>
  <si>
    <t>Haditha</t>
  </si>
  <si>
    <t>Heet</t>
  </si>
  <si>
    <t>Ramadi</t>
  </si>
  <si>
    <t>Al-Mahawil</t>
  </si>
  <si>
    <t>Al-Musayab</t>
  </si>
  <si>
    <t>Hashimiya</t>
  </si>
  <si>
    <t>Hilla</t>
  </si>
  <si>
    <t>Abu Ghraib</t>
  </si>
  <si>
    <t>Adhamia</t>
  </si>
  <si>
    <t>Al Resafa</t>
  </si>
  <si>
    <t>Kadhimia</t>
  </si>
  <si>
    <t>Karkh</t>
  </si>
  <si>
    <t>Mada'in</t>
  </si>
  <si>
    <t>Mahmoudiya</t>
  </si>
  <si>
    <t>Tarmia</t>
  </si>
  <si>
    <t>Thawra1</t>
  </si>
  <si>
    <t>Thawra2</t>
  </si>
  <si>
    <t>Abu Al-Khaseeb</t>
  </si>
  <si>
    <t>Al-Midaina</t>
  </si>
  <si>
    <t>Al-Qurna</t>
  </si>
  <si>
    <t>Al-Zubair</t>
  </si>
  <si>
    <t>Fao</t>
  </si>
  <si>
    <t>Shatt Al-Arab</t>
  </si>
  <si>
    <t>Amedi</t>
  </si>
  <si>
    <t>Hamza</t>
  </si>
  <si>
    <t>Sumel</t>
  </si>
  <si>
    <t>Zakho</t>
  </si>
  <si>
    <t>Al-Khalis</t>
  </si>
  <si>
    <t>Al-Muqdadiya</t>
  </si>
  <si>
    <t>Ba'quba</t>
  </si>
  <si>
    <t>Baladrooz</t>
  </si>
  <si>
    <t>Khanaqin</t>
  </si>
  <si>
    <t>Kifri</t>
  </si>
  <si>
    <t>Koisnjaq</t>
  </si>
  <si>
    <t>Makhmur</t>
  </si>
  <si>
    <t>Mergasur</t>
  </si>
  <si>
    <t>Shaqlawa</t>
  </si>
  <si>
    <t>Soran</t>
  </si>
  <si>
    <t>Ain Al-Tamur</t>
  </si>
  <si>
    <t>Al-Hindiya</t>
  </si>
  <si>
    <t>Al-Hawiga</t>
  </si>
  <si>
    <t>Dabes</t>
  </si>
  <si>
    <t>Daquq</t>
  </si>
  <si>
    <t>Al-Kahla</t>
  </si>
  <si>
    <t>Al-Maimouna</t>
  </si>
  <si>
    <t>Al-Mejar Al-Kabir</t>
  </si>
  <si>
    <t>Ali Al-Gharbi</t>
  </si>
  <si>
    <t>Amara</t>
  </si>
  <si>
    <t>Qal'at Saleh</t>
  </si>
  <si>
    <t>Al-Khidhir</t>
  </si>
  <si>
    <t>Al-Rumaitha</t>
  </si>
  <si>
    <t>Al-Samawa</t>
  </si>
  <si>
    <t>Al-Manathera</t>
  </si>
  <si>
    <t>Kufa</t>
  </si>
  <si>
    <t>Akre</t>
  </si>
  <si>
    <t>Al-Ba'aj</t>
  </si>
  <si>
    <t>Al-Hamdaniya</t>
  </si>
  <si>
    <t>Al-Shikhan</t>
  </si>
  <si>
    <t>Hatra</t>
  </si>
  <si>
    <t>Mosul</t>
  </si>
  <si>
    <t>Sinjar</t>
  </si>
  <si>
    <t>Telafar</t>
  </si>
  <si>
    <t>Tilkaif</t>
  </si>
  <si>
    <t>Afaq</t>
  </si>
  <si>
    <t>Al-Shamiya</t>
  </si>
  <si>
    <t>Diwaniya</t>
  </si>
  <si>
    <t>Al-Daur</t>
  </si>
  <si>
    <t>Al-Fares</t>
  </si>
  <si>
    <t>Al-Shirqat</t>
  </si>
  <si>
    <t>Baiji</t>
  </si>
  <si>
    <t>Balad</t>
  </si>
  <si>
    <t>Samarra</t>
  </si>
  <si>
    <t>Tikrit</t>
  </si>
  <si>
    <t>Chamchamal</t>
  </si>
  <si>
    <t>Darbandikhan</t>
  </si>
  <si>
    <t>Dokan</t>
  </si>
  <si>
    <t>Halabja</t>
  </si>
  <si>
    <t>Kalar</t>
  </si>
  <si>
    <t>Penjwin</t>
  </si>
  <si>
    <t>Pshdar</t>
  </si>
  <si>
    <t>Rania</t>
  </si>
  <si>
    <t>Sharbazher</t>
  </si>
  <si>
    <t>Sulaymaniya</t>
  </si>
  <si>
    <t>Al-Rifa'i</t>
  </si>
  <si>
    <t>Al-Shatra</t>
  </si>
  <si>
    <t>Nassriya</t>
  </si>
  <si>
    <t>Suq Al-Shoyokh</t>
  </si>
  <si>
    <t>Al-Azezia</t>
  </si>
  <si>
    <t>Al-Hai</t>
  </si>
  <si>
    <t>Al-Na'maniya</t>
  </si>
  <si>
    <t>Al-Suwaira</t>
  </si>
  <si>
    <t>Badra</t>
  </si>
  <si>
    <t>Kut</t>
  </si>
  <si>
    <t>Summary</t>
  </si>
  <si>
    <t>#Districts</t>
  </si>
  <si>
    <t>#Locations</t>
  </si>
  <si>
    <t>#Individuals</t>
  </si>
  <si>
    <t>District of Displacement</t>
  </si>
  <si>
    <t>Total</t>
  </si>
  <si>
    <t/>
  </si>
  <si>
    <t>Shelter Type</t>
  </si>
  <si>
    <t xml:space="preserve">    Total</t>
  </si>
  <si>
    <t xml:space="preserve">Post March16 </t>
  </si>
  <si>
    <t xml:space="preserve">Post
 October 16 </t>
  </si>
  <si>
    <t>IDP Individuals</t>
  </si>
  <si>
    <t>%</t>
  </si>
  <si>
    <t>Post 17Oct2016</t>
  </si>
  <si>
    <t>Post Mar2016</t>
  </si>
  <si>
    <t>Others</t>
  </si>
  <si>
    <t>Shelter</t>
  </si>
  <si>
    <t xml:space="preserve">Camp </t>
  </si>
  <si>
    <t>Critical</t>
  </si>
  <si>
    <t>Private setting</t>
  </si>
  <si>
    <t>Unknown</t>
  </si>
  <si>
    <t>Governorate of Origin</t>
  </si>
  <si>
    <t>Row Labels</t>
  </si>
  <si>
    <t>rank</t>
  </si>
  <si>
    <t>Sum of rank</t>
  </si>
  <si>
    <t>Sum of IDP Individuals</t>
  </si>
  <si>
    <t>Sum of %</t>
  </si>
  <si>
    <t>Jan 19</t>
  </si>
  <si>
    <t>Own Property</t>
  </si>
  <si>
    <t>January 19</t>
  </si>
  <si>
    <t>Governorate of Displacement</t>
  </si>
  <si>
    <t>Period of Displacement</t>
  </si>
  <si>
    <t>Number of IDPs by District of Displacement</t>
  </si>
  <si>
    <t xml:space="preserve">Period of Displacement includes a chart that shows the number of IDPs by Period of Displacement </t>
  </si>
  <si>
    <t>Dataset</t>
  </si>
  <si>
    <t>Other tabs</t>
  </si>
  <si>
    <t>You can find in the Summary tab the number of IDPs breakdown by:</t>
  </si>
  <si>
    <t>The whole dataset is located under DTM Dataset tab</t>
  </si>
  <si>
    <t>Number and % of IDPs by Period of Displacement</t>
  </si>
  <si>
    <t>Period and Governorate of Displacement</t>
  </si>
  <si>
    <t>Shelter Type is a breakdown chart that shows Shelter Type by Governorate of Displacement</t>
  </si>
  <si>
    <t>Households</t>
  </si>
  <si>
    <t>#IDP Households</t>
  </si>
  <si>
    <t xml:space="preserve">IDP Households </t>
  </si>
  <si>
    <t>Tuz Khurmatu</t>
  </si>
  <si>
    <t>Jan 20</t>
  </si>
  <si>
    <t>January 20</t>
  </si>
  <si>
    <t>Shelter Type(in red, classified as critical shelters)</t>
  </si>
  <si>
    <t>Number of IDP individuals by Shelter Type</t>
  </si>
  <si>
    <t>Number of IDP individuals by Governorate of Origin</t>
  </si>
  <si>
    <t>Number of IDP individuals by Period of Displacement and Governorate of Displacement</t>
  </si>
  <si>
    <t>Al-Ka'im</t>
  </si>
  <si>
    <t>January 21</t>
  </si>
  <si>
    <t>Apartment/House (not owned)(habitable)</t>
  </si>
  <si>
    <t>Tent/Caravan/makeshift shelter/mud or block house</t>
  </si>
  <si>
    <t>Other Critical shelter</t>
  </si>
  <si>
    <t>Public Buildings or Collective shelters</t>
  </si>
  <si>
    <t>Apartment/House
 (not owned)
(uninhabitable)</t>
  </si>
  <si>
    <t>Apartment/House 
(not owned)
(habitable)</t>
  </si>
  <si>
    <t>Jan 2021</t>
  </si>
  <si>
    <t>January 22</t>
  </si>
  <si>
    <t>Jan 2022</t>
  </si>
  <si>
    <t>Jan 2023</t>
  </si>
  <si>
    <t>January 23</t>
  </si>
  <si>
    <t>c</t>
  </si>
  <si>
    <t>IOM is pleased to share with you the latest Displacement Tracking Matrix (DTM) Dataset Round 130, covering the months of May, June, July and August 2023</t>
  </si>
  <si>
    <t>DTM : IDP Master List 31-08-2023</t>
  </si>
  <si>
    <r>
      <t>During this round of data collection, DTM has identified 1,142,014 internally displaced persons (195,880 households), dispersed across 18 governorates, 1</t>
    </r>
    <r>
      <rPr>
        <sz val="10"/>
        <color theme="1"/>
        <rFont val="Gill Sans Nova"/>
        <family val="2"/>
      </rPr>
      <t>04</t>
    </r>
    <r>
      <rPr>
        <sz val="10"/>
        <color rgb="FF000000"/>
        <rFont val="Gill Sans Nova"/>
        <family val="2"/>
      </rPr>
      <t xml:space="preserve"> districts and </t>
    </r>
    <r>
      <rPr>
        <sz val="10"/>
        <color theme="1"/>
        <rFont val="Gill Sans Nova"/>
        <family val="2"/>
      </rPr>
      <t>2,645</t>
    </r>
    <r>
      <rPr>
        <sz val="10"/>
        <color rgb="FF000000"/>
        <rFont val="Gill Sans Nova"/>
        <family val="2"/>
      </rPr>
      <t xml:space="preserve"> locations in Iraq</t>
    </r>
  </si>
  <si>
    <t>Sum of Households</t>
  </si>
  <si>
    <t>Sum of Individuals</t>
  </si>
  <si>
    <t>Sum of Individuals displaced for a 1st time</t>
  </si>
  <si>
    <t>Sum of Individuals arriving from other location of displacement</t>
  </si>
  <si>
    <t>Sum of Individuals arriving from their area of origin</t>
  </si>
  <si>
    <t>Column1</t>
  </si>
  <si>
    <t>Column2</t>
  </si>
  <si>
    <t>IRQ-G01</t>
  </si>
  <si>
    <t>IRQ-D079</t>
  </si>
  <si>
    <t>IRQ-D007</t>
  </si>
  <si>
    <t>IRQ-D001</t>
  </si>
  <si>
    <t>IRQ-D002</t>
  </si>
  <si>
    <t>IRQ-D003</t>
  </si>
  <si>
    <t>IRQ-D004</t>
  </si>
  <si>
    <t>IRQ-D082</t>
  </si>
  <si>
    <t>IRQ-G06</t>
  </si>
  <si>
    <t>IRQ-D036</t>
  </si>
  <si>
    <t>IRQ-D037</t>
  </si>
  <si>
    <t>IRQ-D034</t>
  </si>
  <si>
    <t>IRQ-D035</t>
  </si>
  <si>
    <t>IRQ-G07</t>
  </si>
  <si>
    <t>IRQ-D038</t>
  </si>
  <si>
    <t>IRQ-D039</t>
  </si>
  <si>
    <t>IRQ-D044</t>
  </si>
  <si>
    <t>IRQ-D040</t>
  </si>
  <si>
    <t>IRQ-D041</t>
  </si>
  <si>
    <t>IRQ-D042</t>
  </si>
  <si>
    <t>IRQ-D043</t>
  </si>
  <si>
    <t>IRQ-D045</t>
  </si>
  <si>
    <t>IRQ-D046</t>
  </si>
  <si>
    <t>IRQ-D047</t>
  </si>
  <si>
    <t>IRQ-G02</t>
  </si>
  <si>
    <t>IRQ-D009</t>
  </si>
  <si>
    <t>IRQ-D012</t>
  </si>
  <si>
    <t>IRQ-D013</t>
  </si>
  <si>
    <t>IRQ-D015</t>
  </si>
  <si>
    <t>IRQ-D010</t>
  </si>
  <si>
    <t>IRQ-D011</t>
  </si>
  <si>
    <t>IRQ-D014</t>
  </si>
  <si>
    <t>IRQ-G08</t>
  </si>
  <si>
    <t>IRQ-D048</t>
  </si>
  <si>
    <t>IRQ-D049</t>
  </si>
  <si>
    <t>IRQ-D050</t>
  </si>
  <si>
    <t>IRQ-D051</t>
  </si>
  <si>
    <t>IRQ-G10</t>
  </si>
  <si>
    <t>IRQ-D059</t>
  </si>
  <si>
    <t>IRQ-D062</t>
  </si>
  <si>
    <t>IRQ-D057</t>
  </si>
  <si>
    <t>IRQ-D060</t>
  </si>
  <si>
    <t>IRQ-D061</t>
  </si>
  <si>
    <t>IRQ-G11</t>
  </si>
  <si>
    <t>IRQ-D064</t>
  </si>
  <si>
    <t>IRQ-D065</t>
  </si>
  <si>
    <t>IRQ-D066</t>
  </si>
  <si>
    <t>IRQ-D067</t>
  </si>
  <si>
    <t>IRQ-D068</t>
  </si>
  <si>
    <t>IRQ-D069</t>
  </si>
  <si>
    <t>IRQ-G12</t>
  </si>
  <si>
    <t>IRQ-D070</t>
  </si>
  <si>
    <t>IRQ-D071</t>
  </si>
  <si>
    <t>IRQ-D072</t>
  </si>
  <si>
    <t>IRQ-G13</t>
  </si>
  <si>
    <t>IRQ-D075</t>
  </si>
  <si>
    <t>IRQ-D073</t>
  </si>
  <si>
    <t>IRQ-D074</t>
  </si>
  <si>
    <t>IRQ-D076</t>
  </si>
  <si>
    <t>IRQ-G14</t>
  </si>
  <si>
    <t>IRQ-D080</t>
  </si>
  <si>
    <t>IRQ-D081</t>
  </si>
  <si>
    <t>IRQ-D078</t>
  </si>
  <si>
    <t>IRQ-G03</t>
  </si>
  <si>
    <t>IRQ-D016</t>
  </si>
  <si>
    <t>IRQ-D017</t>
  </si>
  <si>
    <t>IRQ-D019</t>
  </si>
  <si>
    <t>IRQ-G17</t>
  </si>
  <si>
    <t>IRQ-D099</t>
  </si>
  <si>
    <t>IRQ-D098</t>
  </si>
  <si>
    <t>IRQ-D100</t>
  </si>
  <si>
    <t>IRQ-G15</t>
  </si>
  <si>
    <t>IRQ-D083</t>
  </si>
  <si>
    <t>IRQ-D084</t>
  </si>
  <si>
    <t>IRQ-D085</t>
  </si>
  <si>
    <t>IRQ-D088</t>
  </si>
  <si>
    <t>IRQ-D086</t>
  </si>
  <si>
    <t>IRQ-D087</t>
  </si>
  <si>
    <t>IRQ-D089</t>
  </si>
  <si>
    <t>IRQ-D090</t>
  </si>
  <si>
    <t>IRQ-D091</t>
  </si>
  <si>
    <t>IRQ-G04</t>
  </si>
  <si>
    <t>IRQ-D020</t>
  </si>
  <si>
    <t>IRQ-D023</t>
  </si>
  <si>
    <t>IRQ-D021</t>
  </si>
  <si>
    <t>IRQ-D022</t>
  </si>
  <si>
    <t>IRQ-G18</t>
  </si>
  <si>
    <t>IRQ-D103</t>
  </si>
  <si>
    <t>IRQ-D104</t>
  </si>
  <si>
    <t>IRQ-D106</t>
  </si>
  <si>
    <t>IRQ-D101</t>
  </si>
  <si>
    <t>IRQ-D102</t>
  </si>
  <si>
    <t>IRQ-D105</t>
  </si>
  <si>
    <t>IRQ-D108</t>
  </si>
  <si>
    <t>IRQ-D109</t>
  </si>
  <si>
    <t>IRQ-G05</t>
  </si>
  <si>
    <t>IRQ-D024</t>
  </si>
  <si>
    <t>IRQ-D025</t>
  </si>
  <si>
    <t>IRQ-D026</t>
  </si>
  <si>
    <t>IRQ-D027</t>
  </si>
  <si>
    <t>IRQ-D028</t>
  </si>
  <si>
    <t>IRQ-D029</t>
  </si>
  <si>
    <t>IRQ-D030</t>
  </si>
  <si>
    <t>IRQ-D031</t>
  </si>
  <si>
    <t>IRQ-D032</t>
  </si>
  <si>
    <t>IRQ-D033</t>
  </si>
  <si>
    <t>IRQ-G09</t>
  </si>
  <si>
    <t>IRQ-D054</t>
  </si>
  <si>
    <t>IRQ-D055</t>
  </si>
  <si>
    <t>IRQ-D053</t>
  </si>
  <si>
    <t>IRQ-D056</t>
  </si>
  <si>
    <t>IRQ-G16</t>
  </si>
  <si>
    <t>IRQ-D092</t>
  </si>
  <si>
    <t>IRQ-D094</t>
  </si>
  <si>
    <t>IRQ-D096</t>
  </si>
  <si>
    <t>IRQ-D097</t>
  </si>
  <si>
    <t>IRQ-D095</t>
  </si>
  <si>
    <t xml:space="preserve">#adm1+name	</t>
  </si>
  <si>
    <t xml:space="preserve">#adm1+code	</t>
  </si>
  <si>
    <t>#adm2+name</t>
  </si>
  <si>
    <t>#adm2+code</t>
  </si>
  <si>
    <t>#affected+idp+hh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</si>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</sst>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5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b/>
      <sz val="10"/>
      <color theme="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19" fillId="0" borderId="0" applyFont="0" applyFill="0" applyBorder="0" applyAlignment="0" applyProtection="0"/>
    <xf numFmtId="0" fontId="19" fillId="8" borderId="24" applyNumberFormat="0" applyFont="0" applyAlignment="0" applyProtection="0"/>
  </cellStyleXfs>
  <cellXfs count="125">
    <xf numFmtId="0" fontId="0" fillId="0" borderId="0" xfId="0"/>
    <xf numFmtId="0" fontId="5" fillId="5" borderId="5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165" fontId="6" fillId="0" borderId="2" xfId="0" applyNumberFormat="1" applyFont="1" applyBorder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1" xfId="0" applyFont="1" applyBorder="1"/>
    <xf numFmtId="0" fontId="9" fillId="0" borderId="4" xfId="0" applyFont="1" applyBorder="1"/>
    <xf numFmtId="0" fontId="0" fillId="0" borderId="4" xfId="0" applyBorder="1"/>
    <xf numFmtId="0" fontId="3" fillId="0" borderId="4" xfId="0" applyFont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8" xfId="0" applyFont="1" applyBorder="1" applyAlignment="1">
      <alignment vertical="center" wrapText="1" readingOrder="1"/>
    </xf>
    <xf numFmtId="164" fontId="12" fillId="0" borderId="8" xfId="0" applyNumberFormat="1" applyFont="1" applyBorder="1" applyAlignment="1">
      <alignment vertical="center" wrapText="1" readingOrder="1"/>
    </xf>
    <xf numFmtId="0" fontId="10" fillId="0" borderId="9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 wrapText="1" readingOrder="1"/>
    </xf>
    <xf numFmtId="0" fontId="14" fillId="4" borderId="4" xfId="0" applyFont="1" applyFill="1" applyBorder="1"/>
    <xf numFmtId="0" fontId="10" fillId="0" borderId="4" xfId="0" applyFont="1" applyBorder="1"/>
    <xf numFmtId="0" fontId="4" fillId="3" borderId="8" xfId="0" applyFont="1" applyFill="1" applyBorder="1" applyAlignment="1">
      <alignment horizontal="center" vertical="center" wrapText="1" readingOrder="1"/>
    </xf>
    <xf numFmtId="0" fontId="11" fillId="0" borderId="8" xfId="0" applyFont="1" applyBorder="1" applyAlignment="1">
      <alignment vertical="top" wrapText="1" readingOrder="1"/>
    </xf>
    <xf numFmtId="164" fontId="11" fillId="0" borderId="8" xfId="0" applyNumberFormat="1" applyFont="1" applyBorder="1" applyAlignment="1">
      <alignment vertical="top" wrapText="1" readingOrder="1"/>
    </xf>
    <xf numFmtId="164" fontId="11" fillId="0" borderId="2" xfId="0" applyNumberFormat="1" applyFont="1" applyBorder="1" applyAlignment="1">
      <alignment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0" fontId="12" fillId="0" borderId="6" xfId="0" applyFont="1" applyBorder="1" applyAlignment="1">
      <alignment vertical="top" wrapText="1" readingOrder="1"/>
    </xf>
    <xf numFmtId="164" fontId="12" fillId="0" borderId="6" xfId="0" applyNumberFormat="1" applyFont="1" applyBorder="1" applyAlignment="1">
      <alignment vertical="top" wrapText="1" readingOrder="1"/>
    </xf>
    <xf numFmtId="164" fontId="16" fillId="0" borderId="6" xfId="0" applyNumberFormat="1" applyFont="1" applyBorder="1" applyAlignment="1">
      <alignment vertical="top" wrapText="1" readingOrder="1"/>
    </xf>
    <xf numFmtId="0" fontId="15" fillId="4" borderId="4" xfId="0" applyFont="1" applyFill="1" applyBorder="1"/>
    <xf numFmtId="0" fontId="13" fillId="0" borderId="5" xfId="0" applyFont="1" applyBorder="1" applyAlignment="1">
      <alignment vertical="center"/>
    </xf>
    <xf numFmtId="0" fontId="11" fillId="0" borderId="4" xfId="0" applyFont="1" applyBorder="1"/>
    <xf numFmtId="0" fontId="4" fillId="3" borderId="13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11" fillId="0" borderId="3" xfId="0" applyFont="1" applyBorder="1"/>
    <xf numFmtId="164" fontId="11" fillId="0" borderId="8" xfId="0" applyNumberFormat="1" applyFont="1" applyBorder="1" applyAlignment="1">
      <alignment vertical="center" wrapText="1" readingOrder="1"/>
    </xf>
    <xf numFmtId="164" fontId="11" fillId="0" borderId="13" xfId="0" applyNumberFormat="1" applyFont="1" applyBorder="1" applyAlignment="1">
      <alignment vertical="center" wrapText="1" readingOrder="1"/>
    </xf>
    <xf numFmtId="0" fontId="12" fillId="0" borderId="8" xfId="0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0" fillId="0" borderId="6" xfId="0" applyFont="1" applyBorder="1" applyAlignment="1">
      <alignment vertical="center"/>
    </xf>
    <xf numFmtId="49" fontId="4" fillId="3" borderId="13" xfId="0" applyNumberFormat="1" applyFont="1" applyFill="1" applyBorder="1" applyAlignment="1">
      <alignment horizontal="center" vertical="center" wrapText="1" readingOrder="1"/>
    </xf>
    <xf numFmtId="49" fontId="4" fillId="3" borderId="2" xfId="0" applyNumberFormat="1" applyFont="1" applyFill="1" applyBorder="1" applyAlignment="1">
      <alignment horizontal="center" vertical="center" wrapText="1" readingOrder="1"/>
    </xf>
    <xf numFmtId="0" fontId="14" fillId="0" borderId="4" xfId="0" applyFont="1" applyBorder="1" applyAlignment="1">
      <alignment vertical="center"/>
    </xf>
    <xf numFmtId="164" fontId="11" fillId="0" borderId="14" xfId="0" applyNumberFormat="1" applyFont="1" applyBorder="1" applyAlignment="1">
      <alignment vertical="center" wrapText="1" readingOrder="1"/>
    </xf>
    <xf numFmtId="0" fontId="14" fillId="0" borderId="3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9" fontId="15" fillId="4" borderId="8" xfId="1" applyNumberFormat="1" applyFont="1" applyFill="1" applyBorder="1" applyAlignment="1">
      <alignment vertical="center" wrapText="1" readingOrder="1"/>
    </xf>
    <xf numFmtId="0" fontId="13" fillId="0" borderId="12" xfId="0" applyFont="1" applyBorder="1" applyAlignment="1">
      <alignment horizontal="left" vertical="center"/>
    </xf>
    <xf numFmtId="164" fontId="12" fillId="0" borderId="10" xfId="0" applyNumberFormat="1" applyFont="1" applyBorder="1" applyAlignment="1">
      <alignment vertical="center" wrapText="1" readingOrder="1"/>
    </xf>
    <xf numFmtId="9" fontId="16" fillId="4" borderId="8" xfId="1" applyNumberFormat="1" applyFont="1" applyFill="1" applyBorder="1" applyAlignment="1">
      <alignment vertical="center" wrapText="1" readingOrder="1"/>
    </xf>
    <xf numFmtId="0" fontId="10" fillId="0" borderId="3" xfId="0" applyFont="1" applyBorder="1"/>
    <xf numFmtId="0" fontId="17" fillId="0" borderId="4" xfId="0" applyFont="1" applyBorder="1" applyAlignment="1">
      <alignment horizontal="center" wrapText="1"/>
    </xf>
    <xf numFmtId="0" fontId="18" fillId="0" borderId="4" xfId="2" applyFont="1" applyBorder="1" applyAlignment="1">
      <alignment horizontal="center"/>
    </xf>
    <xf numFmtId="0" fontId="14" fillId="0" borderId="4" xfId="0" applyFont="1" applyBorder="1"/>
    <xf numFmtId="166" fontId="6" fillId="0" borderId="4" xfId="3" applyNumberFormat="1" applyFont="1" applyBorder="1"/>
    <xf numFmtId="0" fontId="18" fillId="0" borderId="4" xfId="2" applyFont="1" applyBorder="1" applyAlignment="1">
      <alignment horizontal="left"/>
    </xf>
    <xf numFmtId="0" fontId="18" fillId="0" borderId="4" xfId="2" applyFont="1" applyBorder="1" applyAlignment="1"/>
    <xf numFmtId="0" fontId="17" fillId="0" borderId="4" xfId="0" applyFont="1" applyBorder="1"/>
    <xf numFmtId="0" fontId="17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5" fillId="6" borderId="1" xfId="0" applyFont="1" applyFill="1" applyBorder="1"/>
    <xf numFmtId="0" fontId="4" fillId="7" borderId="2" xfId="0" applyFont="1" applyFill="1" applyBorder="1" applyAlignment="1">
      <alignment horizontal="center" vertical="center" wrapText="1" readingOrder="1"/>
    </xf>
    <xf numFmtId="165" fontId="6" fillId="0" borderId="4" xfId="3" applyNumberFormat="1" applyFont="1" applyBorder="1"/>
    <xf numFmtId="0" fontId="5" fillId="5" borderId="5" xfId="0" applyFont="1" applyFill="1" applyBorder="1" applyAlignment="1">
      <alignment horizontal="left"/>
    </xf>
    <xf numFmtId="9" fontId="16" fillId="0" borderId="6" xfId="3" applyFont="1" applyBorder="1" applyAlignment="1">
      <alignment vertical="top" wrapText="1" readingOrder="1"/>
    </xf>
    <xf numFmtId="0" fontId="16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4" fontId="15" fillId="0" borderId="3" xfId="0" applyNumberFormat="1" applyFont="1" applyBorder="1" applyAlignment="1">
      <alignment vertical="center"/>
    </xf>
    <xf numFmtId="9" fontId="15" fillId="0" borderId="3" xfId="3" applyFont="1" applyBorder="1" applyAlignment="1">
      <alignment vertical="center"/>
    </xf>
    <xf numFmtId="0" fontId="15" fillId="0" borderId="8" xfId="0" applyFont="1" applyBorder="1" applyAlignment="1">
      <alignment vertical="center" wrapText="1" readingOrder="1"/>
    </xf>
    <xf numFmtId="164" fontId="15" fillId="0" borderId="8" xfId="0" applyNumberFormat="1" applyFont="1" applyBorder="1" applyAlignment="1">
      <alignment vertical="center" wrapText="1" readingOrder="1"/>
    </xf>
    <xf numFmtId="49" fontId="15" fillId="0" borderId="8" xfId="0" applyNumberFormat="1" applyFont="1" applyBorder="1" applyAlignment="1">
      <alignment vertical="center" wrapText="1" readingOrder="1"/>
    </xf>
    <xf numFmtId="49" fontId="15" fillId="0" borderId="11" xfId="0" applyNumberFormat="1" applyFont="1" applyBorder="1" applyAlignment="1">
      <alignment vertical="center" wrapText="1" readingOrder="1"/>
    </xf>
    <xf numFmtId="49" fontId="15" fillId="0" borderId="0" xfId="0" applyNumberFormat="1" applyFont="1" applyAlignment="1">
      <alignment vertical="center" wrapText="1" readingOrder="1"/>
    </xf>
    <xf numFmtId="0" fontId="22" fillId="3" borderId="8" xfId="0" applyFont="1" applyFill="1" applyBorder="1" applyAlignment="1">
      <alignment horizontal="center" vertical="center" wrapText="1" readingOrder="1"/>
    </xf>
    <xf numFmtId="164" fontId="14" fillId="0" borderId="3" xfId="0" applyNumberFormat="1" applyFont="1" applyBorder="1" applyAlignment="1">
      <alignment vertical="center"/>
    </xf>
    <xf numFmtId="9" fontId="14" fillId="0" borderId="3" xfId="3" applyFont="1" applyBorder="1" applyAlignment="1">
      <alignment vertical="center"/>
    </xf>
    <xf numFmtId="3" fontId="6" fillId="0" borderId="2" xfId="0" applyNumberFormat="1" applyFont="1" applyBorder="1" applyAlignment="1">
      <alignment horizontal="right"/>
    </xf>
    <xf numFmtId="164" fontId="15" fillId="0" borderId="10" xfId="0" applyNumberFormat="1" applyFont="1" applyBorder="1" applyAlignment="1">
      <alignment vertical="center" wrapText="1" readingOrder="1"/>
    </xf>
    <xf numFmtId="9" fontId="12" fillId="0" borderId="6" xfId="3" applyFont="1" applyBorder="1" applyAlignment="1">
      <alignment vertical="top" wrapText="1" readingOrder="1"/>
    </xf>
    <xf numFmtId="3" fontId="6" fillId="0" borderId="1" xfId="0" applyNumberFormat="1" applyFont="1" applyBorder="1" applyAlignment="1">
      <alignment horizontal="right"/>
    </xf>
    <xf numFmtId="0" fontId="21" fillId="0" borderId="4" xfId="0" applyFont="1" applyBorder="1" applyAlignment="1">
      <alignment horizontal="center"/>
    </xf>
    <xf numFmtId="0" fontId="17" fillId="0" borderId="18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21" xfId="0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164" fontId="11" fillId="0" borderId="17" xfId="0" applyNumberFormat="1" applyFont="1" applyBorder="1" applyAlignment="1">
      <alignment horizontal="left" vertical="center" wrapText="1" readingOrder="1"/>
    </xf>
    <xf numFmtId="164" fontId="11" fillId="0" borderId="14" xfId="0" applyNumberFormat="1" applyFont="1" applyBorder="1" applyAlignment="1">
      <alignment horizontal="left" vertical="center" wrapText="1" readingOrder="1"/>
    </xf>
    <xf numFmtId="164" fontId="11" fillId="0" borderId="11" xfId="0" applyNumberFormat="1" applyFont="1" applyBorder="1" applyAlignment="1">
      <alignment horizontal="left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4" fillId="3" borderId="16" xfId="0" applyFont="1" applyFill="1" applyBorder="1" applyAlignment="1">
      <alignment horizontal="center" vertical="center" wrapText="1" readingOrder="1"/>
    </xf>
    <xf numFmtId="0" fontId="4" fillId="3" borderId="23" xfId="0" applyFont="1" applyFill="1" applyBorder="1" applyAlignment="1">
      <alignment horizontal="center" vertical="center" wrapText="1" readingOrder="1"/>
    </xf>
    <xf numFmtId="0" fontId="4" fillId="3" borderId="1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164" fontId="12" fillId="0" borderId="8" xfId="0" applyNumberFormat="1" applyFont="1" applyBorder="1" applyAlignment="1">
      <alignment horizontal="center" vertical="center" wrapText="1" readingOrder="1"/>
    </xf>
    <xf numFmtId="0" fontId="23" fillId="0" borderId="0" xfId="0" applyFont="1" applyAlignment="1">
      <alignment horizontal="left" vertical="center"/>
    </xf>
    <xf numFmtId="0" fontId="1" fillId="10" borderId="26" xfId="0" applyFont="1" applyFill="1" applyBorder="1"/>
    <xf numFmtId="0" fontId="1" fillId="10" borderId="27" xfId="0" applyFont="1" applyFill="1" applyBorder="1"/>
    <xf numFmtId="0" fontId="1" fillId="10" borderId="25" xfId="0" applyFont="1" applyFill="1" applyBorder="1"/>
    <xf numFmtId="0" fontId="24" fillId="9" borderId="28" xfId="0" applyFont="1" applyFill="1" applyBorder="1"/>
    <xf numFmtId="0" fontId="24" fillId="9" borderId="29" xfId="0" applyFont="1" applyFill="1" applyBorder="1"/>
    <xf numFmtId="0" fontId="24" fillId="9" borderId="30" xfId="0" applyFont="1" applyFill="1" applyBorder="1"/>
    <xf numFmtId="0" fontId="20" fillId="8" borderId="31" xfId="4" applyFont="1" applyFill="1" applyBorder="1" applyAlignment="1">
      <alignment horizontal="left" vertical="center" wrapText="1"/>
    </xf>
    <xf numFmtId="0" fontId="1" fillId="10" borderId="32" xfId="0" applyFont="1" applyFill="1" applyBorder="1"/>
    <xf numFmtId="0" fontId="1" fillId="10" borderId="29" xfId="0" applyFont="1" applyFill="1" applyBorder="1"/>
    <xf numFmtId="0" fontId="1" fillId="10" borderId="30" xfId="0" applyFont="1" applyFill="1" applyBorder="1"/>
    <xf numFmtId="0" fontId="1" fillId="0" borderId="33" xfId="0" applyFont="1" applyBorder="1"/>
    <xf numFmtId="0" fontId="1" fillId="0" borderId="34" xfId="0" applyFont="1" applyBorder="1"/>
    <xf numFmtId="0" fontId="1" fillId="0" borderId="29" xfId="0" applyFont="1" applyBorder="1"/>
    <xf numFmtId="0" fontId="1" fillId="0" borderId="30" xfId="0" applyFont="1" applyBorder="1"/>
    <xf numFmtId="0" fontId="1" fillId="10" borderId="28" xfId="0" applyFont="1" applyFill="1" applyBorder="1"/>
    <xf numFmtId="0" fontId="1" fillId="0" borderId="28" xfId="0" applyFont="1" applyBorder="1"/>
  </cellXfs>
  <cellStyles count="5">
    <cellStyle name="60% - Accent1 2" xfId="1" xr:uid="{DF31C262-B8CC-4BC0-AF63-22761E50515A}"/>
    <cellStyle name="Hyperlink" xfId="2" builtinId="8"/>
    <cellStyle name="Normal" xfId="0" builtinId="0"/>
    <cellStyle name="Note" xfId="4" builtinId="1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639318195625122E-2"/>
          <c:y val="0.13025816121845349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Type'!$V$58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Type'!$U$59:$U$76</c15:sqref>
                  </c15:fullRef>
                </c:ext>
              </c:extLst>
              <c:f>('Shelter Type'!$U$59:$U$67,'Shelter Type'!$U$70:$U$74,'Shelter Type'!$U$76)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Type'!$V$59:$V$76</c15:sqref>
                  </c15:fullRef>
                </c:ext>
              </c:extLst>
              <c:f>('Shelter Type'!$V$59:$V$67,'Shelter Type'!$V$70:$V$74,'Shelter Type'!$V$76)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106020</c:v>
                </c:pt>
                <c:pt idx="5">
                  <c:v>330</c:v>
                </c:pt>
                <c:pt idx="6">
                  <c:v>12500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36985</c:v>
                </c:pt>
                <c:pt idx="11">
                  <c:v>0</c:v>
                </c:pt>
                <c:pt idx="12">
                  <c:v>0</c:v>
                </c:pt>
                <c:pt idx="13">
                  <c:v>10495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Type'!$W$58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Type'!$U$59:$U$76</c15:sqref>
                  </c15:fullRef>
                </c:ext>
              </c:extLst>
              <c:f>('Shelter Type'!$U$59:$U$67,'Shelter Type'!$U$70:$U$74,'Shelter Type'!$U$76)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Type'!$W$59:$W$76</c15:sqref>
                  </c15:fullRef>
                </c:ext>
              </c:extLst>
              <c:f>('Shelter Type'!$W$59:$W$67,'Shelter Type'!$W$70:$W$74,'Shelter Type'!$W$76)</c:f>
              <c:numCache>
                <c:formatCode>#,##0</c:formatCode>
                <c:ptCount val="15"/>
                <c:pt idx="0">
                  <c:v>2028</c:v>
                </c:pt>
                <c:pt idx="1">
                  <c:v>432</c:v>
                </c:pt>
                <c:pt idx="2">
                  <c:v>600</c:v>
                </c:pt>
                <c:pt idx="3">
                  <c:v>858</c:v>
                </c:pt>
                <c:pt idx="4">
                  <c:v>0</c:v>
                </c:pt>
                <c:pt idx="5">
                  <c:v>3294</c:v>
                </c:pt>
                <c:pt idx="6">
                  <c:v>48</c:v>
                </c:pt>
                <c:pt idx="7">
                  <c:v>30</c:v>
                </c:pt>
                <c:pt idx="8">
                  <c:v>360</c:v>
                </c:pt>
                <c:pt idx="9">
                  <c:v>0</c:v>
                </c:pt>
                <c:pt idx="10">
                  <c:v>10110</c:v>
                </c:pt>
                <c:pt idx="11">
                  <c:v>0</c:v>
                </c:pt>
                <c:pt idx="12">
                  <c:v>3114</c:v>
                </c:pt>
                <c:pt idx="13">
                  <c:v>12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Type'!$X$58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Type'!$U$59:$U$76</c15:sqref>
                  </c15:fullRef>
                </c:ext>
              </c:extLst>
              <c:f>('Shelter Type'!$U$59:$U$67,'Shelter Type'!$U$70:$U$74,'Shelter Type'!$U$76)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Type'!$X$59:$X$76</c15:sqref>
                  </c15:fullRef>
                </c:ext>
              </c:extLst>
              <c:f>('Shelter Type'!$X$59:$X$67,'Shelter Type'!$X$70:$X$74,'Shelter Type'!$X$76)</c:f>
              <c:numCache>
                <c:formatCode>#,##0</c:formatCode>
                <c:ptCount val="15"/>
                <c:pt idx="0">
                  <c:v>11304</c:v>
                </c:pt>
                <c:pt idx="1">
                  <c:v>13668</c:v>
                </c:pt>
                <c:pt idx="2">
                  <c:v>13980</c:v>
                </c:pt>
                <c:pt idx="3">
                  <c:v>3240</c:v>
                </c:pt>
                <c:pt idx="4">
                  <c:v>106686</c:v>
                </c:pt>
                <c:pt idx="5">
                  <c:v>37524</c:v>
                </c:pt>
                <c:pt idx="6">
                  <c:v>214530</c:v>
                </c:pt>
                <c:pt idx="7">
                  <c:v>5988</c:v>
                </c:pt>
                <c:pt idx="8">
                  <c:v>77952</c:v>
                </c:pt>
                <c:pt idx="9">
                  <c:v>5538</c:v>
                </c:pt>
                <c:pt idx="10">
                  <c:v>168882</c:v>
                </c:pt>
                <c:pt idx="11">
                  <c:v>2058</c:v>
                </c:pt>
                <c:pt idx="12">
                  <c:v>29520</c:v>
                </c:pt>
                <c:pt idx="13">
                  <c:v>117294</c:v>
                </c:pt>
                <c:pt idx="14">
                  <c:v>4050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Type'!$Y$58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Type'!$U$59:$U$76</c15:sqref>
                  </c15:fullRef>
                </c:ext>
              </c:extLst>
              <c:f>('Shelter Type'!$U$59:$U$67,'Shelter Type'!$U$70:$U$74,'Shelter Type'!$U$76)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Type'!$Y$59:$Y$76</c15:sqref>
                  </c15:fullRef>
                </c:ext>
              </c:extLst>
              <c:f>('Shelter Type'!$Y$59:$Y$67,'Shelter Type'!$Y$70:$Y$74,'Shelter Type'!$Y$76)</c:f>
              <c:numCache>
                <c:formatCode>#,##0</c:formatCode>
                <c:ptCount val="15"/>
                <c:pt idx="0">
                  <c:v>21636</c:v>
                </c:pt>
                <c:pt idx="1">
                  <c:v>2148</c:v>
                </c:pt>
                <c:pt idx="2">
                  <c:v>12054</c:v>
                </c:pt>
                <c:pt idx="3">
                  <c:v>756</c:v>
                </c:pt>
                <c:pt idx="4">
                  <c:v>27594</c:v>
                </c:pt>
                <c:pt idx="5">
                  <c:v>2946</c:v>
                </c:pt>
                <c:pt idx="6">
                  <c:v>1836</c:v>
                </c:pt>
                <c:pt idx="7">
                  <c:v>4212</c:v>
                </c:pt>
                <c:pt idx="8">
                  <c:v>14352</c:v>
                </c:pt>
                <c:pt idx="9">
                  <c:v>1956</c:v>
                </c:pt>
                <c:pt idx="10">
                  <c:v>25530</c:v>
                </c:pt>
                <c:pt idx="11">
                  <c:v>414</c:v>
                </c:pt>
                <c:pt idx="12">
                  <c:v>18048</c:v>
                </c:pt>
                <c:pt idx="13">
                  <c:v>4806</c:v>
                </c:pt>
                <c:pt idx="14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Type'!$H$59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E-49C1-A724-610CC35DE244}"/>
              </c:ext>
            </c:extLst>
          </c:dPt>
          <c:dLbls>
            <c:dLbl>
              <c:idx val="3"/>
              <c:layout>
                <c:manualLayout>
                  <c:x val="6.3840657618181376E-2"/>
                  <c:y val="-0.1339743522120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E-49C1-A724-610CC35DE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Type'!$G$60:$G$63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Type'!$H$60:$H$63</c:f>
              <c:numCache>
                <c:formatCode>#,##0</c:formatCode>
                <c:ptCount val="4"/>
                <c:pt idx="0">
                  <c:v>166330</c:v>
                </c:pt>
                <c:pt idx="1">
                  <c:v>100278</c:v>
                </c:pt>
                <c:pt idx="2">
                  <c:v>874644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132523</xdr:colOff>
      <xdr:row>1</xdr:row>
      <xdr:rowOff>16565</xdr:rowOff>
    </xdr:from>
    <xdr:to>
      <xdr:col>9</xdr:col>
      <xdr:colOff>76334</xdr:colOff>
      <xdr:row>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C30B4-48F2-423C-91DA-1B7B2D18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5" y="223630"/>
          <a:ext cx="3008376" cy="132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17</xdr:row>
      <xdr:rowOff>0</xdr:rowOff>
    </xdr:from>
    <xdr:to>
      <xdr:col>18</xdr:col>
      <xdr:colOff>337847</xdr:colOff>
      <xdr:row>44</xdr:row>
      <xdr:rowOff>154383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61802-0A06-0C68-59F5-2C6EFD80D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" y="3238500"/>
          <a:ext cx="12034547" cy="52978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63500</xdr:rowOff>
    </xdr:from>
    <xdr:to>
      <xdr:col>26</xdr:col>
      <xdr:colOff>38100</xdr:colOff>
      <xdr:row>54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57</xdr:row>
      <xdr:rowOff>145039</xdr:rowOff>
    </xdr:from>
    <xdr:to>
      <xdr:col>5</xdr:col>
      <xdr:colOff>781746</xdr:colOff>
      <xdr:row>86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27"/>
  <sheetViews>
    <sheetView zoomScaleNormal="100" workbookViewId="0">
      <selection activeCell="A10" sqref="A10:N10"/>
    </sheetView>
  </sheetViews>
  <sheetFormatPr defaultColWidth="9.140625" defaultRowHeight="17.100000000000001" customHeight="1"/>
  <cols>
    <col min="1" max="13" width="9.140625" style="14"/>
    <col min="14" max="14" width="13.28515625" style="14" customWidth="1"/>
    <col min="15" max="16384" width="9.140625" style="14"/>
  </cols>
  <sheetData>
    <row r="10" spans="1:14" ht="17.100000000000001" customHeight="1">
      <c r="A10" s="90" t="s">
        <v>195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</row>
    <row r="11" spans="1:14" ht="17.100000000000001" customHeight="1">
      <c r="B11" s="66"/>
      <c r="C11" s="91" t="s">
        <v>197</v>
      </c>
      <c r="D11" s="92"/>
      <c r="E11" s="92"/>
      <c r="F11" s="92"/>
      <c r="G11" s="92"/>
      <c r="H11" s="92"/>
      <c r="I11" s="92"/>
      <c r="J11" s="92"/>
      <c r="K11" s="93"/>
      <c r="L11" s="66"/>
      <c r="M11" s="66"/>
      <c r="N11" s="66"/>
    </row>
    <row r="12" spans="1:14" ht="17.100000000000001" customHeight="1">
      <c r="A12" s="66"/>
      <c r="B12" s="66"/>
      <c r="C12" s="94"/>
      <c r="D12" s="95"/>
      <c r="E12" s="95"/>
      <c r="F12" s="95"/>
      <c r="G12" s="95"/>
      <c r="H12" s="95"/>
      <c r="I12" s="95"/>
      <c r="J12" s="95"/>
      <c r="K12" s="96"/>
      <c r="L12" s="66"/>
      <c r="M12" s="66"/>
      <c r="N12" s="66"/>
    </row>
    <row r="13" spans="1:14" ht="17.100000000000001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</row>
    <row r="14" spans="1:14" ht="17.100000000000001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 ht="17.100000000000001" customHeight="1">
      <c r="B15" s="65"/>
      <c r="C15" s="65"/>
      <c r="D15" s="65" t="s">
        <v>166</v>
      </c>
      <c r="F15" s="65"/>
      <c r="G15" s="65"/>
      <c r="H15" s="65"/>
      <c r="I15" s="65"/>
      <c r="J15" s="65"/>
      <c r="K15" s="65"/>
      <c r="L15" s="65"/>
      <c r="M15" s="65"/>
      <c r="N15" s="65"/>
    </row>
    <row r="16" spans="1:14" ht="17.100000000000001" customHeight="1">
      <c r="B16" s="64"/>
      <c r="C16" s="64"/>
      <c r="D16" s="64" t="s">
        <v>137</v>
      </c>
      <c r="F16" s="64"/>
      <c r="G16" s="64"/>
      <c r="H16" s="64"/>
      <c r="I16" s="64"/>
      <c r="J16" s="64"/>
      <c r="K16" s="64"/>
      <c r="L16" s="64"/>
      <c r="M16" s="64"/>
      <c r="N16" s="64"/>
    </row>
    <row r="17" spans="2:14" ht="17.100000000000001" customHeight="1">
      <c r="B17" s="64"/>
      <c r="C17" s="64"/>
      <c r="D17" s="64" t="s">
        <v>151</v>
      </c>
      <c r="F17" s="64"/>
      <c r="G17" s="64"/>
      <c r="H17" s="64"/>
      <c r="I17" s="64"/>
      <c r="J17" s="64"/>
      <c r="K17" s="64"/>
      <c r="L17" s="64"/>
      <c r="M17" s="64"/>
      <c r="N17" s="64"/>
    </row>
    <row r="18" spans="2:14" ht="17.100000000000001" customHeight="1">
      <c r="B18" s="64"/>
      <c r="C18" s="64"/>
      <c r="D18" s="64" t="s">
        <v>169</v>
      </c>
      <c r="F18" s="64"/>
      <c r="G18" s="64"/>
      <c r="H18" s="64"/>
      <c r="I18" s="64"/>
      <c r="J18" s="64"/>
      <c r="K18" s="64"/>
      <c r="L18" s="64"/>
      <c r="M18" s="64"/>
      <c r="N18" s="64"/>
    </row>
    <row r="19" spans="2:14" ht="17.100000000000001" customHeight="1">
      <c r="B19" s="64"/>
      <c r="C19" s="64"/>
      <c r="D19" s="64" t="s">
        <v>161</v>
      </c>
      <c r="F19" s="64"/>
      <c r="G19" s="64"/>
      <c r="H19" s="64"/>
      <c r="I19" s="64"/>
      <c r="J19" s="64"/>
      <c r="K19" s="64"/>
      <c r="L19" s="64"/>
      <c r="M19" s="64"/>
      <c r="N19" s="64"/>
    </row>
    <row r="20" spans="2:14" ht="17.100000000000001" customHeight="1">
      <c r="B20" s="64"/>
      <c r="C20" s="64"/>
      <c r="D20" s="64" t="s">
        <v>134</v>
      </c>
      <c r="F20" s="64"/>
      <c r="G20" s="64"/>
      <c r="H20" s="64"/>
      <c r="I20" s="64"/>
      <c r="J20" s="64"/>
      <c r="K20" s="64"/>
      <c r="L20" s="64"/>
      <c r="M20" s="64"/>
      <c r="N20" s="64"/>
    </row>
    <row r="21" spans="2:14" ht="17.100000000000001" customHeight="1">
      <c r="B21" s="60"/>
      <c r="C21" s="60"/>
      <c r="D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2:14" ht="17.100000000000001" customHeight="1">
      <c r="B22" s="65"/>
      <c r="C22" s="65"/>
      <c r="D22" s="65" t="s">
        <v>164</v>
      </c>
      <c r="F22" s="65"/>
      <c r="G22" s="65"/>
      <c r="H22" s="65"/>
      <c r="I22" s="65"/>
      <c r="J22" s="65"/>
      <c r="K22" s="65"/>
      <c r="L22" s="65"/>
      <c r="M22" s="65"/>
      <c r="N22" s="65"/>
    </row>
    <row r="23" spans="2:14" ht="17.100000000000001" customHeight="1">
      <c r="B23" s="64"/>
      <c r="C23" s="64"/>
      <c r="D23" s="64" t="s">
        <v>167</v>
      </c>
      <c r="F23" s="64"/>
      <c r="G23" s="63"/>
      <c r="H23" s="64"/>
      <c r="I23" s="64"/>
      <c r="J23" s="64"/>
      <c r="K23" s="64"/>
      <c r="L23" s="64"/>
      <c r="M23" s="64"/>
      <c r="N23" s="64"/>
    </row>
    <row r="24" spans="2:14" ht="17.100000000000001" customHeight="1">
      <c r="B24" s="60"/>
      <c r="C24" s="60"/>
      <c r="D24" s="60"/>
      <c r="F24" s="60"/>
      <c r="G24" s="63"/>
      <c r="H24" s="60"/>
      <c r="I24" s="60"/>
      <c r="J24" s="60"/>
      <c r="K24" s="60"/>
      <c r="L24" s="60"/>
      <c r="M24" s="60"/>
      <c r="N24" s="60"/>
    </row>
    <row r="25" spans="2:14" ht="17.100000000000001" customHeight="1">
      <c r="B25" s="65"/>
      <c r="C25" s="65"/>
      <c r="D25" s="65" t="s">
        <v>165</v>
      </c>
      <c r="F25" s="65"/>
      <c r="G25" s="65"/>
      <c r="H25" s="65"/>
      <c r="I25" s="65"/>
      <c r="J25" s="65"/>
      <c r="K25" s="65"/>
      <c r="L25" s="65"/>
      <c r="M25" s="65"/>
      <c r="N25" s="65"/>
    </row>
    <row r="26" spans="2:14" ht="17.100000000000001" customHeight="1">
      <c r="B26" s="64"/>
      <c r="C26" s="64"/>
      <c r="D26" s="64" t="s">
        <v>163</v>
      </c>
      <c r="F26" s="64"/>
      <c r="G26" s="63"/>
      <c r="H26" s="64"/>
      <c r="I26" s="64"/>
      <c r="J26" s="64"/>
      <c r="K26" s="64"/>
      <c r="L26" s="64"/>
      <c r="M26" s="64"/>
      <c r="N26" s="64"/>
    </row>
    <row r="27" spans="2:14" ht="17.100000000000001" customHeight="1">
      <c r="B27" s="64"/>
      <c r="C27" s="64"/>
      <c r="D27" s="64" t="s">
        <v>170</v>
      </c>
      <c r="F27" s="64"/>
      <c r="G27" s="64"/>
      <c r="H27" s="64"/>
      <c r="I27" s="64"/>
      <c r="J27" s="64"/>
      <c r="K27" s="64"/>
      <c r="L27" s="64"/>
      <c r="M27" s="64"/>
    </row>
  </sheetData>
  <mergeCells count="2">
    <mergeCell ref="A10:N10"/>
    <mergeCell ref="C11:K12"/>
  </mergeCells>
  <hyperlinks>
    <hyperlink ref="D16" location="Shelter_Type" display="Shelter Type" xr:uid="{854711F9-48F2-4138-8E96-E222C1FF5A81}"/>
    <hyperlink ref="D17" location="Governorate_of_Origin" display="Governorate of Origin" xr:uid="{CB053657-203B-47A4-9494-E720A4E18ECD}"/>
    <hyperlink ref="D18" location="IDP_Per_of_Disp_and_Gov_of_Dis" display="Period of Displacement and Governorate of Displacement" xr:uid="{239F9121-ABB2-40A7-A392-E2D2E63D43EE}"/>
    <hyperlink ref="D19" location="Period_of_Displacement" display="Period of Displacement alone" xr:uid="{3BF64811-C14C-4302-B835-144B232DD9B2}"/>
    <hyperlink ref="D20" location="District_of_Displacement" display="District of Displacement" xr:uid="{FCCE54A0-DBF0-4150-BFBC-610E074EC53F}"/>
    <hyperlink ref="D23" location="'DTM DATASET'!A1" display="The whole dataset is located DTM DATASET tab." xr:uid="{49F474F1-82C2-426A-8347-66FA936937A5}"/>
    <hyperlink ref="D26" location="'Period of Displacement'!A1" display="Period of Displacement includes a chart that shows the number of IDPs by Period of Displacement " xr:uid="{BD0AAAA6-D176-4D5E-8A28-80D0EB283F42}"/>
    <hyperlink ref="D27" location="'Shelter Type'!A1" display="Shelter Type is a breakdown chart  that shows Shelter Type by Governorate of Displacement" xr:uid="{729D85FD-4B3B-49B6-936C-E2E8A58EFD5E}"/>
  </hyperlink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U199"/>
  <sheetViews>
    <sheetView zoomScaleNormal="100" workbookViewId="0">
      <selection activeCell="L15" sqref="G14:L15"/>
    </sheetView>
  </sheetViews>
  <sheetFormatPr defaultColWidth="15.7109375" defaultRowHeight="12.75"/>
  <cols>
    <col min="1" max="6" width="15.7109375" style="18"/>
    <col min="7" max="7" width="16.42578125" style="18" customWidth="1"/>
    <col min="8" max="8" width="21" style="18" customWidth="1"/>
    <col min="9" max="9" width="19" style="18" customWidth="1"/>
    <col min="10" max="16384" width="15.7109375" style="18"/>
  </cols>
  <sheetData>
    <row r="1" spans="1:18">
      <c r="A1" s="106" t="s">
        <v>130</v>
      </c>
      <c r="B1" s="106"/>
      <c r="C1" s="17"/>
    </row>
    <row r="2" spans="1:18">
      <c r="A2" s="19" t="s">
        <v>131</v>
      </c>
      <c r="B2" s="20">
        <v>104.00000000000172</v>
      </c>
      <c r="C2" s="17"/>
    </row>
    <row r="3" spans="1:18">
      <c r="A3" s="19" t="s">
        <v>132</v>
      </c>
      <c r="B3" s="20">
        <v>2645</v>
      </c>
      <c r="C3" s="17"/>
    </row>
    <row r="4" spans="1:18">
      <c r="A4" s="19" t="s">
        <v>172</v>
      </c>
      <c r="B4" s="20">
        <v>195880</v>
      </c>
      <c r="C4" s="17"/>
    </row>
    <row r="5" spans="1:18">
      <c r="A5" s="19" t="s">
        <v>133</v>
      </c>
      <c r="B5" s="20">
        <v>1142014</v>
      </c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8">
      <c r="N6" s="17"/>
    </row>
    <row r="7" spans="1:18">
      <c r="A7" s="23" t="s">
        <v>178</v>
      </c>
      <c r="N7" s="17"/>
    </row>
    <row r="8" spans="1:18" s="26" customFormat="1" ht="12.75" customHeight="1">
      <c r="A8" s="24" t="s">
        <v>136</v>
      </c>
      <c r="B8" s="103" t="s">
        <v>177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5"/>
      <c r="P8" s="25"/>
      <c r="Q8" s="25"/>
    </row>
    <row r="9" spans="1:18" s="26" customFormat="1" ht="38.25">
      <c r="A9" s="27" t="s">
        <v>160</v>
      </c>
      <c r="B9" s="27" t="s">
        <v>21</v>
      </c>
      <c r="C9" s="27" t="s">
        <v>22</v>
      </c>
      <c r="D9" s="27" t="s">
        <v>23</v>
      </c>
      <c r="E9" s="27" t="s">
        <v>158</v>
      </c>
      <c r="F9" s="27" t="s">
        <v>188</v>
      </c>
      <c r="G9" s="69" t="s">
        <v>187</v>
      </c>
      <c r="H9" s="69" t="s">
        <v>184</v>
      </c>
      <c r="I9" s="69" t="s">
        <v>26</v>
      </c>
      <c r="J9" s="69" t="s">
        <v>186</v>
      </c>
      <c r="K9" s="69" t="s">
        <v>24</v>
      </c>
      <c r="L9" s="69" t="s">
        <v>25</v>
      </c>
      <c r="M9" s="69" t="s">
        <v>185</v>
      </c>
      <c r="N9" s="27" t="s">
        <v>27</v>
      </c>
      <c r="O9" s="27" t="s">
        <v>135</v>
      </c>
      <c r="P9" s="25"/>
      <c r="Q9" s="25"/>
      <c r="R9" s="25"/>
    </row>
    <row r="10" spans="1:18" s="26" customFormat="1">
      <c r="A10" s="28" t="s">
        <v>3</v>
      </c>
      <c r="B10" s="29">
        <v>0</v>
      </c>
      <c r="C10" s="29">
        <v>2028</v>
      </c>
      <c r="D10" s="29">
        <v>0</v>
      </c>
      <c r="E10" s="29">
        <v>300</v>
      </c>
      <c r="F10" s="29">
        <v>11304</v>
      </c>
      <c r="G10" s="29">
        <v>390</v>
      </c>
      <c r="H10" s="29">
        <v>14988</v>
      </c>
      <c r="I10" s="29">
        <v>744</v>
      </c>
      <c r="J10" s="29">
        <v>5040</v>
      </c>
      <c r="K10" s="29">
        <v>162</v>
      </c>
      <c r="L10" s="29">
        <v>12</v>
      </c>
      <c r="M10" s="29">
        <v>0</v>
      </c>
      <c r="N10" s="29">
        <v>0</v>
      </c>
      <c r="O10" s="30">
        <v>34968</v>
      </c>
      <c r="P10" s="25"/>
      <c r="Q10" s="25"/>
      <c r="R10" s="25"/>
    </row>
    <row r="11" spans="1:18" s="26" customFormat="1">
      <c r="A11" s="28" t="s">
        <v>4</v>
      </c>
      <c r="B11" s="29">
        <v>0</v>
      </c>
      <c r="C11" s="29">
        <v>432</v>
      </c>
      <c r="D11" s="29">
        <v>0</v>
      </c>
      <c r="E11" s="29">
        <v>1758</v>
      </c>
      <c r="F11" s="29">
        <v>13668</v>
      </c>
      <c r="G11" s="29">
        <v>0</v>
      </c>
      <c r="H11" s="29">
        <v>360</v>
      </c>
      <c r="I11" s="29">
        <v>30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30">
        <v>16248</v>
      </c>
      <c r="P11" s="25"/>
      <c r="Q11" s="25"/>
      <c r="R11" s="25"/>
    </row>
    <row r="12" spans="1:18" s="26" customFormat="1">
      <c r="A12" s="28" t="s">
        <v>5</v>
      </c>
      <c r="B12" s="29">
        <v>0</v>
      </c>
      <c r="C12" s="29">
        <v>600</v>
      </c>
      <c r="D12" s="29">
        <v>0</v>
      </c>
      <c r="E12" s="29">
        <v>888</v>
      </c>
      <c r="F12" s="29">
        <v>13980</v>
      </c>
      <c r="G12" s="29">
        <v>822</v>
      </c>
      <c r="H12" s="29">
        <v>10020</v>
      </c>
      <c r="I12" s="29">
        <v>120</v>
      </c>
      <c r="J12" s="29">
        <v>60</v>
      </c>
      <c r="K12" s="29">
        <v>78</v>
      </c>
      <c r="L12" s="29">
        <v>66</v>
      </c>
      <c r="M12" s="29">
        <v>0</v>
      </c>
      <c r="N12" s="29">
        <v>0</v>
      </c>
      <c r="O12" s="30">
        <v>26634</v>
      </c>
      <c r="P12" s="25"/>
      <c r="Q12" s="25"/>
      <c r="R12" s="25"/>
    </row>
    <row r="13" spans="1:18" s="26" customFormat="1">
      <c r="A13" s="28" t="s">
        <v>6</v>
      </c>
      <c r="B13" s="29">
        <v>0</v>
      </c>
      <c r="C13" s="29">
        <v>858</v>
      </c>
      <c r="D13" s="29">
        <v>42</v>
      </c>
      <c r="E13" s="29">
        <v>540</v>
      </c>
      <c r="F13" s="29">
        <v>3240</v>
      </c>
      <c r="G13" s="29">
        <v>0</v>
      </c>
      <c r="H13" s="29">
        <v>174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30">
        <v>4854</v>
      </c>
      <c r="P13" s="25"/>
      <c r="Q13" s="25"/>
      <c r="R13" s="25"/>
    </row>
    <row r="14" spans="1:18" s="26" customFormat="1">
      <c r="A14" s="28" t="s">
        <v>7</v>
      </c>
      <c r="B14" s="29">
        <v>106020</v>
      </c>
      <c r="C14" s="29">
        <v>0</v>
      </c>
      <c r="D14" s="29">
        <v>0</v>
      </c>
      <c r="E14" s="29">
        <v>9084</v>
      </c>
      <c r="F14" s="29">
        <v>106686</v>
      </c>
      <c r="G14" s="29">
        <v>0</v>
      </c>
      <c r="H14" s="29">
        <v>11658</v>
      </c>
      <c r="I14" s="29">
        <v>6774</v>
      </c>
      <c r="J14" s="29">
        <v>36</v>
      </c>
      <c r="K14" s="29">
        <v>0</v>
      </c>
      <c r="L14" s="29">
        <v>0</v>
      </c>
      <c r="M14" s="29">
        <v>42</v>
      </c>
      <c r="N14" s="29">
        <v>0</v>
      </c>
      <c r="O14" s="30">
        <v>240300</v>
      </c>
      <c r="P14" s="25"/>
      <c r="Q14" s="25"/>
      <c r="R14" s="25"/>
    </row>
    <row r="15" spans="1:18" s="26" customFormat="1">
      <c r="A15" s="28" t="s">
        <v>8</v>
      </c>
      <c r="B15" s="29">
        <v>330</v>
      </c>
      <c r="C15" s="29">
        <v>3294</v>
      </c>
      <c r="D15" s="29">
        <v>0</v>
      </c>
      <c r="E15" s="29">
        <v>546</v>
      </c>
      <c r="F15" s="29">
        <v>37524</v>
      </c>
      <c r="G15" s="29">
        <v>1896</v>
      </c>
      <c r="H15" s="29">
        <v>0</v>
      </c>
      <c r="I15" s="29">
        <v>288</v>
      </c>
      <c r="J15" s="29">
        <v>216</v>
      </c>
      <c r="K15" s="29">
        <v>0</v>
      </c>
      <c r="L15" s="29">
        <v>0</v>
      </c>
      <c r="M15" s="29">
        <v>0</v>
      </c>
      <c r="N15" s="29">
        <v>0</v>
      </c>
      <c r="O15" s="30">
        <v>44094</v>
      </c>
      <c r="P15" s="25"/>
      <c r="Q15" s="61"/>
      <c r="R15" s="25"/>
    </row>
    <row r="16" spans="1:18" s="26" customFormat="1">
      <c r="A16" s="28" t="s">
        <v>9</v>
      </c>
      <c r="B16" s="29">
        <v>12500</v>
      </c>
      <c r="C16" s="29">
        <v>48</v>
      </c>
      <c r="D16" s="29">
        <v>216</v>
      </c>
      <c r="E16" s="29">
        <v>828</v>
      </c>
      <c r="F16" s="29">
        <v>214530</v>
      </c>
      <c r="G16" s="29">
        <v>0</v>
      </c>
      <c r="H16" s="29">
        <v>378</v>
      </c>
      <c r="I16" s="29">
        <v>366</v>
      </c>
      <c r="J16" s="29">
        <v>48</v>
      </c>
      <c r="K16" s="29">
        <v>0</v>
      </c>
      <c r="L16" s="29">
        <v>0</v>
      </c>
      <c r="M16" s="29">
        <v>0</v>
      </c>
      <c r="N16" s="29">
        <v>0</v>
      </c>
      <c r="O16" s="30">
        <v>228914</v>
      </c>
      <c r="P16" s="25"/>
      <c r="Q16" s="25"/>
      <c r="R16" s="25"/>
    </row>
    <row r="17" spans="1:18" s="26" customFormat="1">
      <c r="A17" s="28" t="s">
        <v>10</v>
      </c>
      <c r="B17" s="29">
        <v>0</v>
      </c>
      <c r="C17" s="29">
        <v>30</v>
      </c>
      <c r="D17" s="29">
        <v>0</v>
      </c>
      <c r="E17" s="29">
        <v>4026</v>
      </c>
      <c r="F17" s="29">
        <v>5988</v>
      </c>
      <c r="G17" s="29">
        <v>0</v>
      </c>
      <c r="H17" s="29">
        <v>150</v>
      </c>
      <c r="I17" s="29">
        <v>0</v>
      </c>
      <c r="J17" s="29">
        <v>0</v>
      </c>
      <c r="K17" s="29">
        <v>36</v>
      </c>
      <c r="L17" s="29">
        <v>0</v>
      </c>
      <c r="M17" s="29">
        <v>0</v>
      </c>
      <c r="N17" s="29">
        <v>0</v>
      </c>
      <c r="O17" s="30">
        <v>10230</v>
      </c>
      <c r="P17" s="25"/>
      <c r="Q17" s="25"/>
      <c r="R17" s="25"/>
    </row>
    <row r="18" spans="1:18" s="26" customFormat="1">
      <c r="A18" s="28" t="s">
        <v>11</v>
      </c>
      <c r="B18" s="29">
        <v>0</v>
      </c>
      <c r="C18" s="29">
        <v>360</v>
      </c>
      <c r="D18" s="29">
        <v>0</v>
      </c>
      <c r="E18" s="29">
        <v>2244</v>
      </c>
      <c r="F18" s="29">
        <v>77952</v>
      </c>
      <c r="G18" s="29">
        <v>1836</v>
      </c>
      <c r="H18" s="29">
        <v>10092</v>
      </c>
      <c r="I18" s="29">
        <v>12</v>
      </c>
      <c r="J18" s="29">
        <v>54</v>
      </c>
      <c r="K18" s="29">
        <v>0</v>
      </c>
      <c r="L18" s="29">
        <v>114</v>
      </c>
      <c r="M18" s="29">
        <v>0</v>
      </c>
      <c r="N18" s="29">
        <v>0</v>
      </c>
      <c r="O18" s="30">
        <v>92664</v>
      </c>
      <c r="P18" s="25"/>
      <c r="Q18" s="25"/>
      <c r="R18" s="25"/>
    </row>
    <row r="19" spans="1:18" s="26" customFormat="1">
      <c r="A19" s="28" t="s">
        <v>12</v>
      </c>
      <c r="B19" s="29">
        <v>0</v>
      </c>
      <c r="C19" s="29">
        <v>60</v>
      </c>
      <c r="D19" s="29">
        <v>0</v>
      </c>
      <c r="E19" s="29">
        <v>36</v>
      </c>
      <c r="F19" s="29">
        <v>1074</v>
      </c>
      <c r="G19" s="29">
        <v>0</v>
      </c>
      <c r="H19" s="29">
        <v>90</v>
      </c>
      <c r="I19" s="29">
        <v>0</v>
      </c>
      <c r="J19" s="29">
        <v>0</v>
      </c>
      <c r="K19" s="29">
        <v>6</v>
      </c>
      <c r="L19" s="29">
        <v>0</v>
      </c>
      <c r="M19" s="29">
        <v>0</v>
      </c>
      <c r="N19" s="29">
        <v>0</v>
      </c>
      <c r="O19" s="30">
        <v>1266</v>
      </c>
      <c r="P19" s="25"/>
      <c r="Q19" s="25"/>
      <c r="R19" s="25"/>
    </row>
    <row r="20" spans="1:18" s="26" customFormat="1">
      <c r="A20" s="28" t="s">
        <v>13</v>
      </c>
      <c r="B20" s="29">
        <v>0</v>
      </c>
      <c r="C20" s="29">
        <v>36</v>
      </c>
      <c r="D20" s="29">
        <v>0</v>
      </c>
      <c r="E20" s="29">
        <v>0</v>
      </c>
      <c r="F20" s="29">
        <v>654</v>
      </c>
      <c r="G20" s="29">
        <v>0</v>
      </c>
      <c r="H20" s="29">
        <v>0</v>
      </c>
      <c r="I20" s="29">
        <v>24</v>
      </c>
      <c r="J20" s="29">
        <v>0</v>
      </c>
      <c r="K20" s="29">
        <v>6</v>
      </c>
      <c r="L20" s="29">
        <v>0</v>
      </c>
      <c r="M20" s="29">
        <v>0</v>
      </c>
      <c r="N20" s="29">
        <v>0</v>
      </c>
      <c r="O20" s="30">
        <v>720</v>
      </c>
      <c r="P20" s="25"/>
      <c r="Q20" s="25"/>
      <c r="R20" s="25"/>
    </row>
    <row r="21" spans="1:18" s="26" customFormat="1">
      <c r="A21" s="28" t="s">
        <v>14</v>
      </c>
      <c r="B21" s="29">
        <v>0</v>
      </c>
      <c r="C21" s="29">
        <v>0</v>
      </c>
      <c r="D21" s="29">
        <v>0</v>
      </c>
      <c r="E21" s="29">
        <v>1428</v>
      </c>
      <c r="F21" s="29">
        <v>5538</v>
      </c>
      <c r="G21" s="29">
        <v>18</v>
      </c>
      <c r="H21" s="29">
        <v>0</v>
      </c>
      <c r="I21" s="29">
        <v>0</v>
      </c>
      <c r="J21" s="29">
        <v>510</v>
      </c>
      <c r="K21" s="29">
        <v>0</v>
      </c>
      <c r="L21" s="29">
        <v>0</v>
      </c>
      <c r="M21" s="29">
        <v>0</v>
      </c>
      <c r="N21" s="29">
        <v>0</v>
      </c>
      <c r="O21" s="30">
        <v>7494</v>
      </c>
      <c r="P21" s="25"/>
      <c r="Q21" s="25"/>
      <c r="R21" s="25"/>
    </row>
    <row r="22" spans="1:18" s="26" customFormat="1">
      <c r="A22" s="28" t="s">
        <v>15</v>
      </c>
      <c r="B22" s="29">
        <v>36985</v>
      </c>
      <c r="C22" s="29">
        <v>10110</v>
      </c>
      <c r="D22" s="29">
        <v>0</v>
      </c>
      <c r="E22" s="29">
        <v>9024</v>
      </c>
      <c r="F22" s="29">
        <v>168882</v>
      </c>
      <c r="G22" s="29">
        <v>4266</v>
      </c>
      <c r="H22" s="29">
        <v>6024</v>
      </c>
      <c r="I22" s="29">
        <v>4848</v>
      </c>
      <c r="J22" s="29">
        <v>0</v>
      </c>
      <c r="K22" s="29">
        <v>186</v>
      </c>
      <c r="L22" s="29">
        <v>216</v>
      </c>
      <c r="M22" s="29">
        <v>204</v>
      </c>
      <c r="N22" s="29">
        <v>762</v>
      </c>
      <c r="O22" s="30">
        <v>241507</v>
      </c>
      <c r="P22" s="25"/>
      <c r="Q22" s="25"/>
      <c r="R22" s="25"/>
    </row>
    <row r="23" spans="1:18" s="26" customFormat="1">
      <c r="A23" s="28" t="s">
        <v>16</v>
      </c>
      <c r="B23" s="29">
        <v>0</v>
      </c>
      <c r="C23" s="29">
        <v>0</v>
      </c>
      <c r="D23" s="29">
        <v>0</v>
      </c>
      <c r="E23" s="29">
        <v>0</v>
      </c>
      <c r="F23" s="29">
        <v>2058</v>
      </c>
      <c r="G23" s="29">
        <v>0</v>
      </c>
      <c r="H23" s="29">
        <v>48</v>
      </c>
      <c r="I23" s="29">
        <v>18</v>
      </c>
      <c r="J23" s="29">
        <v>90</v>
      </c>
      <c r="K23" s="29">
        <v>258</v>
      </c>
      <c r="L23" s="29">
        <v>0</v>
      </c>
      <c r="M23" s="29">
        <v>0</v>
      </c>
      <c r="N23" s="29">
        <v>0</v>
      </c>
      <c r="O23" s="30">
        <v>2472</v>
      </c>
      <c r="P23" s="25"/>
      <c r="Q23" s="25"/>
      <c r="R23" s="25"/>
    </row>
    <row r="24" spans="1:18" s="26" customFormat="1">
      <c r="A24" s="28" t="s">
        <v>17</v>
      </c>
      <c r="B24" s="29">
        <v>0</v>
      </c>
      <c r="C24" s="29">
        <v>3114</v>
      </c>
      <c r="D24" s="29">
        <v>0</v>
      </c>
      <c r="E24" s="29">
        <v>1836</v>
      </c>
      <c r="F24" s="29">
        <v>29520</v>
      </c>
      <c r="G24" s="29">
        <v>6336</v>
      </c>
      <c r="H24" s="29">
        <v>8346</v>
      </c>
      <c r="I24" s="29">
        <v>1176</v>
      </c>
      <c r="J24" s="29">
        <v>24</v>
      </c>
      <c r="K24" s="29">
        <v>0</v>
      </c>
      <c r="L24" s="29">
        <v>132</v>
      </c>
      <c r="M24" s="29">
        <v>198</v>
      </c>
      <c r="N24" s="29">
        <v>0</v>
      </c>
      <c r="O24" s="30">
        <v>50682</v>
      </c>
      <c r="P24" s="25"/>
      <c r="Q24" s="25"/>
      <c r="R24" s="25"/>
    </row>
    <row r="25" spans="1:18" s="26" customFormat="1">
      <c r="A25" s="28" t="s">
        <v>18</v>
      </c>
      <c r="B25" s="29">
        <v>10495</v>
      </c>
      <c r="C25" s="29">
        <v>12</v>
      </c>
      <c r="D25" s="29">
        <v>36</v>
      </c>
      <c r="E25" s="29">
        <v>4650</v>
      </c>
      <c r="F25" s="29">
        <v>117294</v>
      </c>
      <c r="G25" s="29">
        <v>0</v>
      </c>
      <c r="H25" s="29">
        <v>0</v>
      </c>
      <c r="I25" s="29">
        <v>96</v>
      </c>
      <c r="J25" s="29">
        <v>0</v>
      </c>
      <c r="K25" s="29">
        <v>12</v>
      </c>
      <c r="L25" s="29">
        <v>12</v>
      </c>
      <c r="M25" s="29">
        <v>0</v>
      </c>
      <c r="N25" s="29">
        <v>0</v>
      </c>
      <c r="O25" s="30">
        <v>132607</v>
      </c>
      <c r="P25" s="25"/>
      <c r="Q25" s="25"/>
      <c r="R25" s="25"/>
    </row>
    <row r="26" spans="1:18" s="26" customFormat="1">
      <c r="A26" s="28" t="s">
        <v>19</v>
      </c>
      <c r="B26" s="29">
        <v>0</v>
      </c>
      <c r="C26" s="29">
        <v>336</v>
      </c>
      <c r="D26" s="29">
        <v>0</v>
      </c>
      <c r="E26" s="29">
        <v>444</v>
      </c>
      <c r="F26" s="29">
        <v>1242</v>
      </c>
      <c r="G26" s="29">
        <v>0</v>
      </c>
      <c r="H26" s="29">
        <v>54</v>
      </c>
      <c r="I26" s="29">
        <v>0</v>
      </c>
      <c r="J26" s="29">
        <v>0</v>
      </c>
      <c r="K26" s="29">
        <v>18</v>
      </c>
      <c r="L26" s="29">
        <v>0</v>
      </c>
      <c r="M26" s="29">
        <v>0</v>
      </c>
      <c r="N26" s="29">
        <v>0</v>
      </c>
      <c r="O26" s="30">
        <v>2094</v>
      </c>
      <c r="P26" s="25"/>
      <c r="Q26" s="25"/>
      <c r="R26" s="25"/>
    </row>
    <row r="27" spans="1:18" s="26" customFormat="1">
      <c r="A27" s="28" t="s">
        <v>20</v>
      </c>
      <c r="B27" s="29">
        <v>0</v>
      </c>
      <c r="C27" s="29">
        <v>48</v>
      </c>
      <c r="D27" s="29">
        <v>0</v>
      </c>
      <c r="E27" s="29">
        <v>168</v>
      </c>
      <c r="F27" s="29">
        <v>4050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30">
        <v>4266</v>
      </c>
      <c r="P27" s="25"/>
      <c r="Q27" s="25"/>
      <c r="R27" s="25"/>
    </row>
    <row r="28" spans="1:18" s="26" customFormat="1">
      <c r="A28" s="31" t="s">
        <v>138</v>
      </c>
      <c r="B28" s="32">
        <v>166330</v>
      </c>
      <c r="C28" s="32">
        <v>21366</v>
      </c>
      <c r="D28" s="32">
        <v>294</v>
      </c>
      <c r="E28" s="32">
        <v>37800</v>
      </c>
      <c r="F28" s="32">
        <v>815184</v>
      </c>
      <c r="G28" s="32">
        <v>15564</v>
      </c>
      <c r="H28" s="32">
        <v>62382</v>
      </c>
      <c r="I28" s="32">
        <v>14496</v>
      </c>
      <c r="J28" s="32">
        <v>6078</v>
      </c>
      <c r="K28" s="32">
        <v>762</v>
      </c>
      <c r="L28" s="32">
        <v>552</v>
      </c>
      <c r="M28" s="32">
        <v>444</v>
      </c>
      <c r="N28" s="32">
        <v>762</v>
      </c>
      <c r="O28" s="32">
        <v>1142014</v>
      </c>
      <c r="P28" s="25"/>
      <c r="Q28" s="25"/>
      <c r="R28" s="25"/>
    </row>
    <row r="29" spans="1:18" s="26" customFormat="1">
      <c r="A29" s="33"/>
      <c r="B29" s="34">
        <f>B28/$O$28</f>
        <v>0.14564620048440738</v>
      </c>
      <c r="C29" s="34"/>
      <c r="D29" s="34"/>
      <c r="E29" s="34"/>
      <c r="F29" s="88"/>
      <c r="G29" s="34"/>
      <c r="H29" s="72"/>
      <c r="I29" s="35"/>
      <c r="J29" s="34"/>
      <c r="K29" s="34"/>
      <c r="L29" s="34"/>
      <c r="M29" s="34"/>
      <c r="N29" s="36"/>
      <c r="O29" s="25"/>
      <c r="P29" s="25"/>
      <c r="Q29" s="25"/>
    </row>
    <row r="30" spans="1:18">
      <c r="A30" s="37" t="s">
        <v>179</v>
      </c>
      <c r="B30" s="22"/>
      <c r="C30" s="22"/>
      <c r="D30" s="22"/>
      <c r="E30" s="22"/>
      <c r="F30" s="22"/>
      <c r="G30" s="22"/>
      <c r="H30" s="22"/>
      <c r="I30" s="22"/>
      <c r="J30" s="22"/>
      <c r="L30" s="22"/>
    </row>
    <row r="31" spans="1:18" ht="27" customHeight="1">
      <c r="A31" s="27" t="s">
        <v>136</v>
      </c>
      <c r="B31" s="106" t="s">
        <v>151</v>
      </c>
      <c r="C31" s="106"/>
      <c r="D31" s="106"/>
      <c r="E31" s="106"/>
      <c r="F31" s="106"/>
      <c r="G31" s="106"/>
      <c r="H31" s="106"/>
      <c r="I31" s="106"/>
      <c r="J31" s="106"/>
      <c r="K31" s="17"/>
      <c r="L31" s="38"/>
      <c r="M31" s="17"/>
    </row>
    <row r="32" spans="1:18" ht="30" customHeight="1">
      <c r="A32" s="27" t="s">
        <v>160</v>
      </c>
      <c r="B32" s="27" t="s">
        <v>3</v>
      </c>
      <c r="C32" s="27" t="s">
        <v>4</v>
      </c>
      <c r="D32" s="27" t="s">
        <v>5</v>
      </c>
      <c r="E32" s="27" t="s">
        <v>8</v>
      </c>
      <c r="F32" s="27" t="s">
        <v>9</v>
      </c>
      <c r="G32" s="27" t="s">
        <v>11</v>
      </c>
      <c r="H32" s="27" t="s">
        <v>15</v>
      </c>
      <c r="I32" s="39" t="s">
        <v>17</v>
      </c>
      <c r="J32" s="40" t="s">
        <v>135</v>
      </c>
      <c r="L32" s="41"/>
      <c r="M32" s="17"/>
    </row>
    <row r="33" spans="1:13">
      <c r="A33" s="19" t="s">
        <v>3</v>
      </c>
      <c r="B33" s="42">
        <v>25080</v>
      </c>
      <c r="C33" s="42">
        <v>9324</v>
      </c>
      <c r="D33" s="42">
        <v>282</v>
      </c>
      <c r="E33" s="42">
        <v>6</v>
      </c>
      <c r="F33" s="42">
        <v>0</v>
      </c>
      <c r="G33" s="42">
        <v>24</v>
      </c>
      <c r="H33" s="42">
        <v>72</v>
      </c>
      <c r="I33" s="43">
        <v>180</v>
      </c>
      <c r="J33" s="30">
        <v>34968</v>
      </c>
      <c r="L33" s="41"/>
      <c r="M33" s="17"/>
    </row>
    <row r="34" spans="1:13">
      <c r="A34" s="19" t="s">
        <v>4</v>
      </c>
      <c r="B34" s="42">
        <v>96</v>
      </c>
      <c r="C34" s="42">
        <v>15582</v>
      </c>
      <c r="D34" s="42">
        <v>102</v>
      </c>
      <c r="E34" s="42">
        <v>0</v>
      </c>
      <c r="F34" s="42">
        <v>0</v>
      </c>
      <c r="G34" s="42">
        <v>12</v>
      </c>
      <c r="H34" s="42">
        <v>402</v>
      </c>
      <c r="I34" s="43">
        <v>54</v>
      </c>
      <c r="J34" s="30">
        <v>16248</v>
      </c>
      <c r="L34" s="41"/>
      <c r="M34" s="17"/>
    </row>
    <row r="35" spans="1:13">
      <c r="A35" s="19" t="s">
        <v>5</v>
      </c>
      <c r="B35" s="42">
        <v>10464</v>
      </c>
      <c r="C35" s="42">
        <v>8808</v>
      </c>
      <c r="D35" s="42">
        <v>378</v>
      </c>
      <c r="E35" s="42">
        <v>708</v>
      </c>
      <c r="F35" s="42">
        <v>0</v>
      </c>
      <c r="G35" s="42">
        <v>42</v>
      </c>
      <c r="H35" s="42">
        <v>4446</v>
      </c>
      <c r="I35" s="43">
        <v>1788</v>
      </c>
      <c r="J35" s="30">
        <v>26634</v>
      </c>
      <c r="L35" s="41"/>
      <c r="M35" s="17"/>
    </row>
    <row r="36" spans="1:13">
      <c r="A36" s="19" t="s">
        <v>6</v>
      </c>
      <c r="B36" s="42">
        <v>852</v>
      </c>
      <c r="C36" s="42">
        <v>78</v>
      </c>
      <c r="D36" s="42">
        <v>162</v>
      </c>
      <c r="E36" s="42">
        <v>150</v>
      </c>
      <c r="F36" s="42">
        <v>0</v>
      </c>
      <c r="G36" s="42">
        <v>528</v>
      </c>
      <c r="H36" s="42">
        <v>1278</v>
      </c>
      <c r="I36" s="43">
        <v>1806</v>
      </c>
      <c r="J36" s="30">
        <v>4854</v>
      </c>
      <c r="L36" s="41"/>
      <c r="M36" s="17"/>
    </row>
    <row r="37" spans="1:13">
      <c r="A37" s="19" t="s">
        <v>7</v>
      </c>
      <c r="B37" s="42">
        <v>168</v>
      </c>
      <c r="C37" s="42">
        <v>0</v>
      </c>
      <c r="D37" s="42">
        <v>174</v>
      </c>
      <c r="E37" s="42">
        <v>0</v>
      </c>
      <c r="F37" s="42">
        <v>0</v>
      </c>
      <c r="G37" s="42">
        <v>54</v>
      </c>
      <c r="H37" s="42">
        <v>239712</v>
      </c>
      <c r="I37" s="43">
        <v>192</v>
      </c>
      <c r="J37" s="30">
        <v>240300</v>
      </c>
      <c r="L37" s="41"/>
      <c r="M37" s="17"/>
    </row>
    <row r="38" spans="1:13">
      <c r="A38" s="19" t="s">
        <v>8</v>
      </c>
      <c r="B38" s="42">
        <v>751</v>
      </c>
      <c r="C38" s="42">
        <v>534</v>
      </c>
      <c r="D38" s="42">
        <v>629</v>
      </c>
      <c r="E38" s="42">
        <v>39192</v>
      </c>
      <c r="F38" s="42">
        <v>0</v>
      </c>
      <c r="G38" s="42">
        <v>60</v>
      </c>
      <c r="H38" s="42">
        <v>330</v>
      </c>
      <c r="I38" s="43">
        <v>2598</v>
      </c>
      <c r="J38" s="30">
        <v>44094</v>
      </c>
      <c r="L38" s="41"/>
      <c r="M38" s="17"/>
    </row>
    <row r="39" spans="1:13">
      <c r="A39" s="19" t="s">
        <v>9</v>
      </c>
      <c r="B39" s="42">
        <v>68028</v>
      </c>
      <c r="C39" s="42">
        <v>35</v>
      </c>
      <c r="D39" s="42">
        <v>12028</v>
      </c>
      <c r="E39" s="42">
        <v>922</v>
      </c>
      <c r="F39" s="42">
        <v>7021</v>
      </c>
      <c r="G39" s="42">
        <v>9169</v>
      </c>
      <c r="H39" s="42">
        <v>109147</v>
      </c>
      <c r="I39" s="43">
        <v>22564</v>
      </c>
      <c r="J39" s="30">
        <v>228914</v>
      </c>
      <c r="L39" s="41"/>
      <c r="M39" s="17"/>
    </row>
    <row r="40" spans="1:13">
      <c r="A40" s="19" t="s">
        <v>10</v>
      </c>
      <c r="B40" s="42">
        <v>180</v>
      </c>
      <c r="C40" s="42">
        <v>1056</v>
      </c>
      <c r="D40" s="42">
        <v>0</v>
      </c>
      <c r="E40" s="42">
        <v>18</v>
      </c>
      <c r="F40" s="42">
        <v>0</v>
      </c>
      <c r="G40" s="42">
        <v>264</v>
      </c>
      <c r="H40" s="42">
        <v>8712</v>
      </c>
      <c r="I40" s="43">
        <v>0</v>
      </c>
      <c r="J40" s="30">
        <v>10230</v>
      </c>
      <c r="L40" s="41"/>
      <c r="M40" s="17"/>
    </row>
    <row r="41" spans="1:13">
      <c r="A41" s="19" t="s">
        <v>11</v>
      </c>
      <c r="B41" s="42">
        <v>2424</v>
      </c>
      <c r="C41" s="42">
        <v>198</v>
      </c>
      <c r="D41" s="42">
        <v>1026</v>
      </c>
      <c r="E41" s="42">
        <v>5988</v>
      </c>
      <c r="F41" s="42">
        <v>30</v>
      </c>
      <c r="G41" s="42">
        <v>54210</v>
      </c>
      <c r="H41" s="42">
        <v>8652</v>
      </c>
      <c r="I41" s="43">
        <v>20136</v>
      </c>
      <c r="J41" s="30">
        <v>92664</v>
      </c>
      <c r="L41" s="41"/>
      <c r="M41" s="17"/>
    </row>
    <row r="42" spans="1:13">
      <c r="A42" s="19" t="s">
        <v>12</v>
      </c>
      <c r="B42" s="42">
        <v>72</v>
      </c>
      <c r="C42" s="42">
        <v>18</v>
      </c>
      <c r="D42" s="42">
        <v>84</v>
      </c>
      <c r="E42" s="42">
        <v>48</v>
      </c>
      <c r="F42" s="42">
        <v>0</v>
      </c>
      <c r="G42" s="42">
        <v>300</v>
      </c>
      <c r="H42" s="42">
        <v>576</v>
      </c>
      <c r="I42" s="43">
        <v>168</v>
      </c>
      <c r="J42" s="30">
        <v>1266</v>
      </c>
      <c r="L42" s="41"/>
      <c r="M42" s="17"/>
    </row>
    <row r="43" spans="1:13">
      <c r="A43" s="19" t="s">
        <v>13</v>
      </c>
      <c r="B43" s="42">
        <v>78</v>
      </c>
      <c r="C43" s="42">
        <v>0</v>
      </c>
      <c r="D43" s="42">
        <v>90</v>
      </c>
      <c r="E43" s="42">
        <v>24</v>
      </c>
      <c r="F43" s="42">
        <v>0</v>
      </c>
      <c r="G43" s="42">
        <v>78</v>
      </c>
      <c r="H43" s="42">
        <v>390</v>
      </c>
      <c r="I43" s="43">
        <v>60</v>
      </c>
      <c r="J43" s="30">
        <v>720</v>
      </c>
      <c r="L43" s="41"/>
      <c r="M43" s="17"/>
    </row>
    <row r="44" spans="1:13">
      <c r="A44" s="19" t="s">
        <v>14</v>
      </c>
      <c r="B44" s="42">
        <v>0</v>
      </c>
      <c r="C44" s="42">
        <v>0</v>
      </c>
      <c r="D44" s="42">
        <v>0</v>
      </c>
      <c r="E44" s="42">
        <v>42</v>
      </c>
      <c r="F44" s="42">
        <v>0</v>
      </c>
      <c r="G44" s="42">
        <v>0</v>
      </c>
      <c r="H44" s="42">
        <v>7416</v>
      </c>
      <c r="I44" s="43">
        <v>36</v>
      </c>
      <c r="J44" s="30">
        <v>7494</v>
      </c>
      <c r="L44" s="41"/>
      <c r="M44" s="17"/>
    </row>
    <row r="45" spans="1:13">
      <c r="A45" s="19" t="s">
        <v>15</v>
      </c>
      <c r="B45" s="42">
        <v>179</v>
      </c>
      <c r="C45" s="42">
        <v>10</v>
      </c>
      <c r="D45" s="42">
        <v>0</v>
      </c>
      <c r="E45" s="42">
        <v>29</v>
      </c>
      <c r="F45" s="42">
        <v>1573</v>
      </c>
      <c r="G45" s="42">
        <v>517</v>
      </c>
      <c r="H45" s="42">
        <v>237930</v>
      </c>
      <c r="I45" s="43">
        <v>1269</v>
      </c>
      <c r="J45" s="30">
        <v>241507</v>
      </c>
      <c r="L45" s="41"/>
      <c r="M45" s="17"/>
    </row>
    <row r="46" spans="1:13">
      <c r="A46" s="19" t="s">
        <v>16</v>
      </c>
      <c r="B46" s="42">
        <v>0</v>
      </c>
      <c r="C46" s="42">
        <v>0</v>
      </c>
      <c r="D46" s="42">
        <v>108</v>
      </c>
      <c r="E46" s="42">
        <v>0</v>
      </c>
      <c r="F46" s="42">
        <v>0</v>
      </c>
      <c r="G46" s="42">
        <v>1116</v>
      </c>
      <c r="H46" s="42">
        <v>1218</v>
      </c>
      <c r="I46" s="43">
        <v>30</v>
      </c>
      <c r="J46" s="30">
        <v>2472</v>
      </c>
      <c r="L46" s="41"/>
      <c r="M46" s="17"/>
    </row>
    <row r="47" spans="1:13">
      <c r="A47" s="19" t="s">
        <v>17</v>
      </c>
      <c r="B47" s="42">
        <v>48</v>
      </c>
      <c r="C47" s="42">
        <v>0</v>
      </c>
      <c r="D47" s="42">
        <v>0</v>
      </c>
      <c r="E47" s="42">
        <v>684</v>
      </c>
      <c r="F47" s="42">
        <v>0</v>
      </c>
      <c r="G47" s="42">
        <v>2112</v>
      </c>
      <c r="H47" s="42">
        <v>24</v>
      </c>
      <c r="I47" s="43">
        <v>47814</v>
      </c>
      <c r="J47" s="30">
        <v>50682</v>
      </c>
      <c r="L47" s="41"/>
      <c r="M47" s="17"/>
    </row>
    <row r="48" spans="1:13">
      <c r="A48" s="19" t="s">
        <v>18</v>
      </c>
      <c r="B48" s="42">
        <v>19823</v>
      </c>
      <c r="C48" s="42">
        <v>8780</v>
      </c>
      <c r="D48" s="42">
        <v>30426</v>
      </c>
      <c r="E48" s="42">
        <v>23916</v>
      </c>
      <c r="F48" s="42">
        <v>0</v>
      </c>
      <c r="G48" s="42">
        <v>4368</v>
      </c>
      <c r="H48" s="42">
        <v>13052</v>
      </c>
      <c r="I48" s="43">
        <v>32242</v>
      </c>
      <c r="J48" s="30">
        <v>132607</v>
      </c>
      <c r="L48" s="41"/>
      <c r="M48" s="17"/>
    </row>
    <row r="49" spans="1:21">
      <c r="A49" s="19" t="s">
        <v>19</v>
      </c>
      <c r="B49" s="42">
        <v>396</v>
      </c>
      <c r="C49" s="42">
        <v>24</v>
      </c>
      <c r="D49" s="42">
        <v>42</v>
      </c>
      <c r="E49" s="42">
        <v>60</v>
      </c>
      <c r="F49" s="42">
        <v>0</v>
      </c>
      <c r="G49" s="42">
        <v>474</v>
      </c>
      <c r="H49" s="42">
        <v>930</v>
      </c>
      <c r="I49" s="43">
        <v>168</v>
      </c>
      <c r="J49" s="30">
        <v>2094</v>
      </c>
      <c r="L49" s="41"/>
      <c r="M49" s="17"/>
    </row>
    <row r="50" spans="1:21">
      <c r="A50" s="19" t="s">
        <v>20</v>
      </c>
      <c r="B50" s="42">
        <v>132</v>
      </c>
      <c r="C50" s="42">
        <v>0</v>
      </c>
      <c r="D50" s="42">
        <v>0</v>
      </c>
      <c r="E50" s="42">
        <v>204</v>
      </c>
      <c r="F50" s="42">
        <v>0</v>
      </c>
      <c r="G50" s="42">
        <v>414</v>
      </c>
      <c r="H50" s="42">
        <v>3402</v>
      </c>
      <c r="I50" s="43">
        <v>114</v>
      </c>
      <c r="J50" s="30">
        <v>4266</v>
      </c>
      <c r="L50" s="41"/>
      <c r="M50" s="17"/>
    </row>
    <row r="51" spans="1:21">
      <c r="A51" s="44" t="s">
        <v>138</v>
      </c>
      <c r="B51" s="20">
        <v>128771</v>
      </c>
      <c r="C51" s="20">
        <v>44447</v>
      </c>
      <c r="D51" s="20">
        <v>45531</v>
      </c>
      <c r="E51" s="20">
        <v>71991</v>
      </c>
      <c r="F51" s="20">
        <v>8624</v>
      </c>
      <c r="G51" s="20">
        <v>73742</v>
      </c>
      <c r="H51" s="20">
        <v>637689</v>
      </c>
      <c r="I51" s="45">
        <v>131219</v>
      </c>
      <c r="J51" s="46">
        <v>1142014</v>
      </c>
      <c r="L51" s="41"/>
      <c r="M51" s="17"/>
    </row>
    <row r="52" spans="1:2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</row>
    <row r="53" spans="1:21">
      <c r="A53" s="37" t="s">
        <v>180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21" ht="27" customHeight="1">
      <c r="A54" s="27" t="s">
        <v>136</v>
      </c>
      <c r="B54" s="100" t="s">
        <v>161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2"/>
      <c r="O54" s="22"/>
      <c r="P54" s="22"/>
      <c r="Q54" s="22"/>
      <c r="R54" s="22"/>
    </row>
    <row r="55" spans="1:21" ht="27" customHeight="1">
      <c r="A55" s="27" t="s">
        <v>160</v>
      </c>
      <c r="B55" s="27" t="s">
        <v>28</v>
      </c>
      <c r="C55" s="27" t="s">
        <v>29</v>
      </c>
      <c r="D55" s="48" t="s">
        <v>30</v>
      </c>
      <c r="E55" s="40" t="s">
        <v>31</v>
      </c>
      <c r="F55" s="40" t="s">
        <v>32</v>
      </c>
      <c r="G55" s="40" t="s">
        <v>139</v>
      </c>
      <c r="H55" s="40" t="s">
        <v>140</v>
      </c>
      <c r="I55" s="49" t="s">
        <v>33</v>
      </c>
      <c r="J55" s="49" t="s">
        <v>157</v>
      </c>
      <c r="K55" s="49" t="s">
        <v>175</v>
      </c>
      <c r="L55" s="49" t="s">
        <v>189</v>
      </c>
      <c r="M55" s="49" t="s">
        <v>191</v>
      </c>
      <c r="N55" s="49" t="s">
        <v>192</v>
      </c>
      <c r="O55" s="40" t="s">
        <v>135</v>
      </c>
      <c r="P55" s="17"/>
      <c r="U55" s="50" t="s">
        <v>153</v>
      </c>
    </row>
    <row r="56" spans="1:21">
      <c r="A56" s="19" t="s">
        <v>3</v>
      </c>
      <c r="B56" s="42">
        <v>3720</v>
      </c>
      <c r="C56" s="42">
        <v>1596</v>
      </c>
      <c r="D56" s="42">
        <v>0</v>
      </c>
      <c r="E56" s="51">
        <v>8508</v>
      </c>
      <c r="F56" s="51">
        <v>10728</v>
      </c>
      <c r="G56" s="51">
        <v>3684</v>
      </c>
      <c r="H56" s="51">
        <v>1050</v>
      </c>
      <c r="I56" s="51">
        <v>3234</v>
      </c>
      <c r="J56" s="51">
        <v>2328</v>
      </c>
      <c r="K56" s="51">
        <v>114</v>
      </c>
      <c r="L56" s="51">
        <v>6</v>
      </c>
      <c r="M56" s="51">
        <v>0</v>
      </c>
      <c r="N56" s="51">
        <v>0</v>
      </c>
      <c r="O56" s="51">
        <v>34968</v>
      </c>
      <c r="U56" s="52">
        <v>9</v>
      </c>
    </row>
    <row r="57" spans="1:21">
      <c r="A57" s="19" t="s">
        <v>4</v>
      </c>
      <c r="B57" s="42">
        <v>30</v>
      </c>
      <c r="C57" s="42">
        <v>12660</v>
      </c>
      <c r="D57" s="42">
        <v>3270</v>
      </c>
      <c r="E57" s="42">
        <v>252</v>
      </c>
      <c r="F57" s="42">
        <v>36</v>
      </c>
      <c r="G57" s="42">
        <v>0</v>
      </c>
      <c r="H57" s="42">
        <v>0</v>
      </c>
      <c r="I57" s="42">
        <v>0</v>
      </c>
      <c r="J57" s="42">
        <v>0</v>
      </c>
      <c r="K57" s="51">
        <v>0</v>
      </c>
      <c r="L57" s="51">
        <v>0</v>
      </c>
      <c r="M57" s="51">
        <v>0</v>
      </c>
      <c r="N57" s="51">
        <v>0</v>
      </c>
      <c r="O57" s="51">
        <v>16248</v>
      </c>
      <c r="U57" s="52">
        <v>8</v>
      </c>
    </row>
    <row r="58" spans="1:21">
      <c r="A58" s="19" t="s">
        <v>5</v>
      </c>
      <c r="B58" s="42">
        <v>1800</v>
      </c>
      <c r="C58" s="42">
        <v>5430</v>
      </c>
      <c r="D58" s="42">
        <v>8874</v>
      </c>
      <c r="E58" s="42">
        <v>6438</v>
      </c>
      <c r="F58" s="42">
        <v>2874</v>
      </c>
      <c r="G58" s="42">
        <v>444</v>
      </c>
      <c r="H58" s="42">
        <v>552</v>
      </c>
      <c r="I58" s="42">
        <v>12</v>
      </c>
      <c r="J58" s="42">
        <v>210</v>
      </c>
      <c r="K58" s="51">
        <v>0</v>
      </c>
      <c r="L58" s="51">
        <v>0</v>
      </c>
      <c r="M58" s="51">
        <v>0</v>
      </c>
      <c r="N58" s="51">
        <v>0</v>
      </c>
      <c r="O58" s="51">
        <v>26634</v>
      </c>
      <c r="U58" s="52">
        <v>7</v>
      </c>
    </row>
    <row r="59" spans="1:21">
      <c r="A59" s="19" t="s">
        <v>6</v>
      </c>
      <c r="B59" s="42">
        <v>330</v>
      </c>
      <c r="C59" s="42">
        <v>1026</v>
      </c>
      <c r="D59" s="42">
        <v>1038</v>
      </c>
      <c r="E59" s="42">
        <v>1668</v>
      </c>
      <c r="F59" s="42">
        <v>402</v>
      </c>
      <c r="G59" s="42">
        <v>162</v>
      </c>
      <c r="H59" s="42">
        <v>204</v>
      </c>
      <c r="I59" s="42">
        <v>24</v>
      </c>
      <c r="J59" s="42">
        <v>0</v>
      </c>
      <c r="K59" s="51">
        <v>0</v>
      </c>
      <c r="L59" s="51">
        <v>0</v>
      </c>
      <c r="M59" s="51">
        <v>0</v>
      </c>
      <c r="N59" s="51">
        <v>0</v>
      </c>
      <c r="O59" s="51">
        <v>4854</v>
      </c>
      <c r="U59" s="52">
        <v>6</v>
      </c>
    </row>
    <row r="60" spans="1:21">
      <c r="A60" s="19" t="s">
        <v>7</v>
      </c>
      <c r="B60" s="42">
        <v>168</v>
      </c>
      <c r="C60" s="42">
        <v>47602</v>
      </c>
      <c r="D60" s="42">
        <v>180861</v>
      </c>
      <c r="E60" s="42">
        <v>0</v>
      </c>
      <c r="F60" s="42">
        <v>108</v>
      </c>
      <c r="G60" s="42">
        <v>0</v>
      </c>
      <c r="H60" s="42">
        <v>0</v>
      </c>
      <c r="I60" s="42">
        <v>11531</v>
      </c>
      <c r="J60" s="42">
        <v>0</v>
      </c>
      <c r="K60" s="51">
        <v>12</v>
      </c>
      <c r="L60" s="51">
        <v>18</v>
      </c>
      <c r="M60" s="51">
        <v>0</v>
      </c>
      <c r="N60" s="51">
        <v>0</v>
      </c>
      <c r="O60" s="51">
        <v>240300</v>
      </c>
      <c r="U60" s="52">
        <v>5</v>
      </c>
    </row>
    <row r="61" spans="1:21">
      <c r="A61" s="19" t="s">
        <v>8</v>
      </c>
      <c r="B61" s="42">
        <v>123</v>
      </c>
      <c r="C61" s="42">
        <v>14259</v>
      </c>
      <c r="D61" s="42">
        <v>4080</v>
      </c>
      <c r="E61" s="42">
        <v>18560</v>
      </c>
      <c r="F61" s="42">
        <v>830</v>
      </c>
      <c r="G61" s="42">
        <v>260</v>
      </c>
      <c r="H61" s="42">
        <v>672</v>
      </c>
      <c r="I61" s="42">
        <v>2046</v>
      </c>
      <c r="J61" s="42">
        <v>1500</v>
      </c>
      <c r="K61" s="51">
        <v>462</v>
      </c>
      <c r="L61" s="51">
        <v>1008</v>
      </c>
      <c r="M61" s="51">
        <v>294</v>
      </c>
      <c r="N61" s="51">
        <v>0</v>
      </c>
      <c r="O61" s="51">
        <v>44094</v>
      </c>
      <c r="U61" s="52">
        <v>4</v>
      </c>
    </row>
    <row r="62" spans="1:21">
      <c r="A62" s="19" t="s">
        <v>9</v>
      </c>
      <c r="B62" s="42">
        <v>30156</v>
      </c>
      <c r="C62" s="42">
        <v>74869</v>
      </c>
      <c r="D62" s="42">
        <v>13613</v>
      </c>
      <c r="E62" s="42">
        <v>11078</v>
      </c>
      <c r="F62" s="42">
        <v>35847</v>
      </c>
      <c r="G62" s="42">
        <v>5398</v>
      </c>
      <c r="H62" s="42">
        <v>41931</v>
      </c>
      <c r="I62" s="42">
        <v>12829</v>
      </c>
      <c r="J62" s="42">
        <v>390</v>
      </c>
      <c r="K62" s="51">
        <v>2647</v>
      </c>
      <c r="L62" s="51">
        <v>156</v>
      </c>
      <c r="M62" s="51">
        <v>0</v>
      </c>
      <c r="N62" s="51">
        <v>0</v>
      </c>
      <c r="O62" s="51">
        <v>228914</v>
      </c>
      <c r="U62" s="52">
        <v>3</v>
      </c>
    </row>
    <row r="63" spans="1:21">
      <c r="A63" s="19" t="s">
        <v>10</v>
      </c>
      <c r="B63" s="42">
        <v>1248</v>
      </c>
      <c r="C63" s="42">
        <v>8880</v>
      </c>
      <c r="D63" s="42">
        <v>102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51">
        <v>0</v>
      </c>
      <c r="L63" s="51">
        <v>0</v>
      </c>
      <c r="M63" s="51">
        <v>0</v>
      </c>
      <c r="N63" s="51">
        <v>0</v>
      </c>
      <c r="O63" s="51">
        <v>10230</v>
      </c>
      <c r="U63" s="52">
        <v>2</v>
      </c>
    </row>
    <row r="64" spans="1:21">
      <c r="A64" s="19" t="s">
        <v>11</v>
      </c>
      <c r="B64" s="42">
        <v>1044</v>
      </c>
      <c r="C64" s="42">
        <v>9336</v>
      </c>
      <c r="D64" s="42">
        <v>8472</v>
      </c>
      <c r="E64" s="42">
        <v>17382</v>
      </c>
      <c r="F64" s="42">
        <v>15954</v>
      </c>
      <c r="G64" s="42">
        <v>13362</v>
      </c>
      <c r="H64" s="42">
        <v>15870</v>
      </c>
      <c r="I64" s="42">
        <v>10956</v>
      </c>
      <c r="J64" s="42">
        <v>216</v>
      </c>
      <c r="K64" s="51">
        <v>0</v>
      </c>
      <c r="L64" s="51">
        <v>72</v>
      </c>
      <c r="M64" s="51">
        <v>0</v>
      </c>
      <c r="N64" s="51">
        <v>0</v>
      </c>
      <c r="O64" s="51">
        <v>92664</v>
      </c>
      <c r="U64" s="52">
        <v>1</v>
      </c>
    </row>
    <row r="65" spans="1:17">
      <c r="A65" s="19" t="s">
        <v>12</v>
      </c>
      <c r="B65" s="42">
        <v>60</v>
      </c>
      <c r="C65" s="42">
        <v>486</v>
      </c>
      <c r="D65" s="42">
        <v>348</v>
      </c>
      <c r="E65" s="42">
        <v>276</v>
      </c>
      <c r="F65" s="42">
        <v>30</v>
      </c>
      <c r="G65" s="42">
        <v>6</v>
      </c>
      <c r="H65" s="42">
        <v>60</v>
      </c>
      <c r="I65" s="42">
        <v>0</v>
      </c>
      <c r="J65" s="42">
        <v>0</v>
      </c>
      <c r="K65" s="51">
        <v>0</v>
      </c>
      <c r="L65" s="51">
        <v>0</v>
      </c>
      <c r="M65" s="51">
        <v>0</v>
      </c>
      <c r="N65" s="51">
        <v>0</v>
      </c>
      <c r="O65" s="51">
        <v>1266</v>
      </c>
      <c r="P65" s="53"/>
    </row>
    <row r="66" spans="1:17">
      <c r="A66" s="19" t="s">
        <v>13</v>
      </c>
      <c r="B66" s="42">
        <v>30</v>
      </c>
      <c r="C66" s="42">
        <v>336</v>
      </c>
      <c r="D66" s="42">
        <v>186</v>
      </c>
      <c r="E66" s="42">
        <v>114</v>
      </c>
      <c r="F66" s="42">
        <v>42</v>
      </c>
      <c r="G66" s="42">
        <v>0</v>
      </c>
      <c r="H66" s="42">
        <v>12</v>
      </c>
      <c r="I66" s="42">
        <v>0</v>
      </c>
      <c r="J66" s="42">
        <v>0</v>
      </c>
      <c r="K66" s="51">
        <v>0</v>
      </c>
      <c r="L66" s="51">
        <v>0</v>
      </c>
      <c r="M66" s="51">
        <v>0</v>
      </c>
      <c r="N66" s="51">
        <v>0</v>
      </c>
      <c r="O66" s="51">
        <v>720</v>
      </c>
      <c r="P66" s="17"/>
      <c r="Q66" s="47"/>
    </row>
    <row r="67" spans="1:17">
      <c r="A67" s="19" t="s">
        <v>14</v>
      </c>
      <c r="B67" s="42">
        <v>12</v>
      </c>
      <c r="C67" s="42">
        <v>5166</v>
      </c>
      <c r="D67" s="42">
        <v>1482</v>
      </c>
      <c r="E67" s="42">
        <v>834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51">
        <v>0</v>
      </c>
      <c r="L67" s="51">
        <v>0</v>
      </c>
      <c r="M67" s="51">
        <v>0</v>
      </c>
      <c r="N67" s="51">
        <v>0</v>
      </c>
      <c r="O67" s="51">
        <v>7494</v>
      </c>
      <c r="P67" s="17"/>
    </row>
    <row r="68" spans="1:17">
      <c r="A68" s="19" t="s">
        <v>15</v>
      </c>
      <c r="B68" s="42">
        <v>60</v>
      </c>
      <c r="C68" s="42">
        <v>21903</v>
      </c>
      <c r="D68" s="42">
        <v>110482</v>
      </c>
      <c r="E68" s="42">
        <v>7193</v>
      </c>
      <c r="F68" s="42">
        <v>11009</v>
      </c>
      <c r="G68" s="42">
        <v>4463</v>
      </c>
      <c r="H68" s="42">
        <v>82129</v>
      </c>
      <c r="I68" s="42">
        <v>3173</v>
      </c>
      <c r="J68" s="42">
        <v>465</v>
      </c>
      <c r="K68" s="51">
        <v>500</v>
      </c>
      <c r="L68" s="51">
        <v>130</v>
      </c>
      <c r="M68" s="51">
        <v>0</v>
      </c>
      <c r="N68" s="51">
        <v>0</v>
      </c>
      <c r="O68" s="51">
        <v>241507</v>
      </c>
      <c r="P68" s="17"/>
    </row>
    <row r="69" spans="1:17">
      <c r="A69" s="19" t="s">
        <v>16</v>
      </c>
      <c r="B69" s="42">
        <v>0</v>
      </c>
      <c r="C69" s="42">
        <v>1488</v>
      </c>
      <c r="D69" s="42">
        <v>930</v>
      </c>
      <c r="E69" s="42">
        <v>54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51">
        <v>0</v>
      </c>
      <c r="L69" s="51">
        <v>0</v>
      </c>
      <c r="M69" s="51">
        <v>0</v>
      </c>
      <c r="N69" s="51">
        <v>0</v>
      </c>
      <c r="O69" s="51">
        <v>2472</v>
      </c>
      <c r="P69" s="17"/>
    </row>
    <row r="70" spans="1:17">
      <c r="A70" s="19" t="s">
        <v>17</v>
      </c>
      <c r="B70" s="42">
        <v>444</v>
      </c>
      <c r="C70" s="42">
        <v>11370</v>
      </c>
      <c r="D70" s="42">
        <v>17586</v>
      </c>
      <c r="E70" s="42">
        <v>7542</v>
      </c>
      <c r="F70" s="42">
        <v>8292</v>
      </c>
      <c r="G70" s="42">
        <v>2376</v>
      </c>
      <c r="H70" s="42">
        <v>2070</v>
      </c>
      <c r="I70" s="42">
        <v>372</v>
      </c>
      <c r="J70" s="42">
        <v>0</v>
      </c>
      <c r="K70" s="51">
        <v>96</v>
      </c>
      <c r="L70" s="51">
        <v>42</v>
      </c>
      <c r="M70" s="51">
        <v>492</v>
      </c>
      <c r="N70" s="51">
        <v>0</v>
      </c>
      <c r="O70" s="51">
        <v>50682</v>
      </c>
      <c r="P70" s="17"/>
    </row>
    <row r="71" spans="1:17">
      <c r="A71" s="19" t="s">
        <v>18</v>
      </c>
      <c r="B71" s="42">
        <v>5758</v>
      </c>
      <c r="C71" s="42">
        <v>19802</v>
      </c>
      <c r="D71" s="42">
        <v>12507</v>
      </c>
      <c r="E71" s="42">
        <v>28669</v>
      </c>
      <c r="F71" s="42">
        <v>10523</v>
      </c>
      <c r="G71" s="42">
        <v>10741</v>
      </c>
      <c r="H71" s="42">
        <v>8999</v>
      </c>
      <c r="I71" s="42">
        <v>15364</v>
      </c>
      <c r="J71" s="42">
        <v>4224</v>
      </c>
      <c r="K71" s="51">
        <v>5718</v>
      </c>
      <c r="L71" s="51">
        <v>7668</v>
      </c>
      <c r="M71" s="51">
        <v>2562</v>
      </c>
      <c r="N71" s="51">
        <v>72</v>
      </c>
      <c r="O71" s="51">
        <v>132607</v>
      </c>
      <c r="P71" s="17"/>
    </row>
    <row r="72" spans="1:17">
      <c r="A72" s="19" t="s">
        <v>19</v>
      </c>
      <c r="B72" s="42">
        <v>168</v>
      </c>
      <c r="C72" s="42">
        <v>822</v>
      </c>
      <c r="D72" s="42">
        <v>600</v>
      </c>
      <c r="E72" s="42">
        <v>444</v>
      </c>
      <c r="F72" s="42">
        <v>54</v>
      </c>
      <c r="G72" s="42">
        <v>0</v>
      </c>
      <c r="H72" s="42">
        <v>6</v>
      </c>
      <c r="I72" s="42">
        <v>0</v>
      </c>
      <c r="J72" s="42">
        <v>0</v>
      </c>
      <c r="K72" s="51">
        <v>0</v>
      </c>
      <c r="L72" s="51">
        <v>0</v>
      </c>
      <c r="M72" s="51">
        <v>0</v>
      </c>
      <c r="N72" s="51">
        <v>0</v>
      </c>
      <c r="O72" s="51">
        <v>2094</v>
      </c>
      <c r="P72" s="17"/>
    </row>
    <row r="73" spans="1:17">
      <c r="A73" s="19" t="s">
        <v>20</v>
      </c>
      <c r="B73" s="42">
        <v>96</v>
      </c>
      <c r="C73" s="42">
        <v>3528</v>
      </c>
      <c r="D73" s="42">
        <v>522</v>
      </c>
      <c r="E73" s="42">
        <v>36</v>
      </c>
      <c r="F73" s="42">
        <v>84</v>
      </c>
      <c r="G73" s="42">
        <v>0</v>
      </c>
      <c r="H73" s="42">
        <v>0</v>
      </c>
      <c r="I73" s="42">
        <v>0</v>
      </c>
      <c r="J73" s="42">
        <v>0</v>
      </c>
      <c r="K73" s="51">
        <v>0</v>
      </c>
      <c r="L73" s="51">
        <v>0</v>
      </c>
      <c r="M73" s="51">
        <v>0</v>
      </c>
      <c r="N73" s="51">
        <v>0</v>
      </c>
      <c r="O73" s="51">
        <v>4266</v>
      </c>
      <c r="P73" s="17"/>
    </row>
    <row r="74" spans="1:17">
      <c r="A74" s="44" t="s">
        <v>135</v>
      </c>
      <c r="B74" s="20">
        <v>45247</v>
      </c>
      <c r="C74" s="20">
        <v>240559</v>
      </c>
      <c r="D74" s="20">
        <v>364953</v>
      </c>
      <c r="E74" s="20">
        <v>109048</v>
      </c>
      <c r="F74" s="20">
        <v>96813</v>
      </c>
      <c r="G74" s="20">
        <v>40896</v>
      </c>
      <c r="H74" s="20">
        <v>153555</v>
      </c>
      <c r="I74" s="20">
        <v>59541</v>
      </c>
      <c r="J74" s="20">
        <v>9333</v>
      </c>
      <c r="K74" s="20">
        <v>9549</v>
      </c>
      <c r="L74" s="20">
        <v>9100</v>
      </c>
      <c r="M74" s="20">
        <v>3348</v>
      </c>
      <c r="N74" s="20">
        <v>72</v>
      </c>
      <c r="O74" s="20">
        <v>1142014</v>
      </c>
      <c r="P74" s="17"/>
    </row>
    <row r="75" spans="1:1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7" s="74" customFormat="1">
      <c r="A76" s="73" t="s">
        <v>168</v>
      </c>
      <c r="E76" s="75"/>
      <c r="F76" s="75"/>
      <c r="G76" s="75"/>
      <c r="H76" s="75"/>
      <c r="I76" s="76"/>
      <c r="J76" s="77"/>
      <c r="K76" s="75"/>
      <c r="L76" s="75"/>
    </row>
    <row r="77" spans="1:17" s="50" customFormat="1" ht="25.5">
      <c r="A77" s="83" t="s">
        <v>161</v>
      </c>
      <c r="B77" s="83" t="s">
        <v>173</v>
      </c>
      <c r="C77" s="83" t="s">
        <v>141</v>
      </c>
      <c r="D77" s="83" t="s">
        <v>142</v>
      </c>
      <c r="E77" s="52" t="s">
        <v>153</v>
      </c>
      <c r="F77" s="75"/>
      <c r="G77" s="75"/>
      <c r="H77" s="75"/>
      <c r="I77" s="84" t="s">
        <v>194</v>
      </c>
      <c r="J77" s="85">
        <v>7767</v>
      </c>
      <c r="K77" s="52"/>
      <c r="L77" s="52"/>
    </row>
    <row r="78" spans="1:17" s="74" customFormat="1">
      <c r="A78" s="78" t="s">
        <v>28</v>
      </c>
      <c r="B78" s="79">
        <v>7544</v>
      </c>
      <c r="C78" s="79">
        <v>45247</v>
      </c>
      <c r="D78" s="54">
        <v>3.9620354916839899E-2</v>
      </c>
      <c r="E78" s="52">
        <v>13</v>
      </c>
      <c r="F78" s="75"/>
      <c r="G78" s="75"/>
      <c r="H78" s="75"/>
      <c r="I78" s="75"/>
      <c r="J78" s="76"/>
      <c r="K78" s="75"/>
      <c r="L78" s="75"/>
    </row>
    <row r="79" spans="1:17" s="74" customFormat="1">
      <c r="A79" s="78" t="s">
        <v>29</v>
      </c>
      <c r="B79" s="79">
        <v>40140</v>
      </c>
      <c r="C79" s="79">
        <v>240559</v>
      </c>
      <c r="D79" s="54">
        <v>0.2106445280005324</v>
      </c>
      <c r="E79" s="52">
        <v>12</v>
      </c>
      <c r="F79" s="75"/>
      <c r="G79" s="75"/>
      <c r="H79" s="75"/>
      <c r="I79" s="75"/>
      <c r="J79" s="75"/>
      <c r="K79" s="75"/>
      <c r="L79" s="75"/>
    </row>
    <row r="80" spans="1:17" s="74" customFormat="1">
      <c r="A80" s="78" t="s">
        <v>30</v>
      </c>
      <c r="B80" s="79">
        <v>65436</v>
      </c>
      <c r="C80" s="79">
        <v>364953</v>
      </c>
      <c r="D80" s="54">
        <v>0.31956963750006567</v>
      </c>
      <c r="E80" s="52">
        <v>11</v>
      </c>
      <c r="F80" s="75"/>
      <c r="G80" s="75"/>
      <c r="H80" s="75"/>
      <c r="I80" s="75"/>
      <c r="J80" s="75"/>
      <c r="K80" s="75"/>
      <c r="L80" s="75"/>
    </row>
    <row r="81" spans="1:13" s="74" customFormat="1">
      <c r="A81" s="78" t="s">
        <v>31</v>
      </c>
      <c r="B81" s="79">
        <v>18542</v>
      </c>
      <c r="C81" s="79">
        <v>109048</v>
      </c>
      <c r="D81" s="54">
        <v>9.5487445863185569E-2</v>
      </c>
      <c r="E81" s="52">
        <v>10</v>
      </c>
      <c r="F81" s="75"/>
      <c r="G81" s="75"/>
      <c r="H81" s="75"/>
      <c r="I81" s="75"/>
      <c r="J81" s="75"/>
      <c r="K81" s="75"/>
      <c r="L81" s="75"/>
    </row>
    <row r="82" spans="1:13" s="74" customFormat="1">
      <c r="A82" s="78" t="s">
        <v>32</v>
      </c>
      <c r="B82" s="79">
        <v>16142</v>
      </c>
      <c r="C82" s="79">
        <v>96813</v>
      </c>
      <c r="D82" s="54">
        <v>8.4773916957235199E-2</v>
      </c>
      <c r="E82" s="52">
        <v>9</v>
      </c>
      <c r="F82" s="75"/>
      <c r="G82" s="75"/>
      <c r="H82" s="75"/>
      <c r="I82" s="75"/>
      <c r="J82" s="75"/>
      <c r="K82" s="75"/>
      <c r="L82" s="75"/>
    </row>
    <row r="83" spans="1:13" s="74" customFormat="1">
      <c r="A83" s="78" t="s">
        <v>144</v>
      </c>
      <c r="B83" s="79">
        <v>6984</v>
      </c>
      <c r="C83" s="79">
        <v>40896</v>
      </c>
      <c r="D83" s="54">
        <v>3.5810419136718112E-2</v>
      </c>
      <c r="E83" s="52">
        <v>8</v>
      </c>
      <c r="F83" s="75"/>
      <c r="G83" s="75"/>
      <c r="H83" s="75"/>
      <c r="I83" s="75"/>
      <c r="J83" s="75"/>
      <c r="K83" s="75"/>
      <c r="L83" s="75"/>
    </row>
    <row r="84" spans="1:13" s="74" customFormat="1">
      <c r="A84" s="78" t="s">
        <v>143</v>
      </c>
      <c r="B84" s="79">
        <v>25861</v>
      </c>
      <c r="C84" s="79">
        <v>153555</v>
      </c>
      <c r="D84" s="54">
        <v>0.13445982273422216</v>
      </c>
      <c r="E84" s="52">
        <v>7</v>
      </c>
      <c r="F84" s="75"/>
      <c r="G84" s="75"/>
      <c r="H84" s="75"/>
      <c r="I84" s="75"/>
      <c r="J84" s="75"/>
      <c r="K84" s="75"/>
      <c r="L84" s="75"/>
    </row>
    <row r="85" spans="1:13" s="74" customFormat="1">
      <c r="A85" s="80" t="s">
        <v>33</v>
      </c>
      <c r="B85" s="79">
        <v>9959</v>
      </c>
      <c r="C85" s="79">
        <v>59541</v>
      </c>
      <c r="D85" s="54">
        <v>5.2136838952937532E-2</v>
      </c>
      <c r="E85" s="52">
        <v>6</v>
      </c>
      <c r="F85" s="75"/>
      <c r="G85" s="75"/>
      <c r="H85" s="75"/>
      <c r="I85" s="75"/>
      <c r="J85" s="75"/>
      <c r="K85" s="75"/>
      <c r="L85" s="75"/>
    </row>
    <row r="86" spans="1:13" s="74" customFormat="1">
      <c r="A86" s="81" t="s">
        <v>159</v>
      </c>
      <c r="B86" s="79">
        <v>1571</v>
      </c>
      <c r="C86" s="79">
        <v>9333</v>
      </c>
      <c r="D86" s="54">
        <v>8.1724041911920512E-3</v>
      </c>
      <c r="E86" s="52">
        <v>5</v>
      </c>
      <c r="F86" s="75"/>
      <c r="G86" s="75"/>
      <c r="H86" s="75"/>
      <c r="I86" s="75"/>
      <c r="J86" s="75"/>
      <c r="K86" s="75"/>
      <c r="L86" s="75"/>
    </row>
    <row r="87" spans="1:13" s="74" customFormat="1">
      <c r="A87" s="82" t="s">
        <v>176</v>
      </c>
      <c r="B87" s="79">
        <v>1610</v>
      </c>
      <c r="C87" s="79">
        <v>9549</v>
      </c>
      <c r="D87" s="54">
        <v>8.3615437288859853E-3</v>
      </c>
      <c r="E87" s="52">
        <v>4</v>
      </c>
      <c r="F87" s="75"/>
      <c r="G87" s="75"/>
      <c r="H87" s="75"/>
      <c r="I87" s="75"/>
      <c r="J87" s="75"/>
      <c r="K87" s="75"/>
      <c r="L87" s="75"/>
    </row>
    <row r="88" spans="1:13" s="74" customFormat="1">
      <c r="A88" s="82" t="s">
        <v>182</v>
      </c>
      <c r="B88" s="79">
        <v>1521</v>
      </c>
      <c r="C88" s="79">
        <v>9100</v>
      </c>
      <c r="D88" s="54">
        <v>7.9683786713647987E-3</v>
      </c>
      <c r="E88" s="52">
        <v>3</v>
      </c>
      <c r="F88" s="75"/>
      <c r="G88" s="75"/>
      <c r="H88" s="75"/>
      <c r="I88" s="75"/>
      <c r="J88" s="75"/>
      <c r="K88" s="75"/>
      <c r="L88" s="75"/>
    </row>
    <row r="89" spans="1:13" s="74" customFormat="1">
      <c r="A89" s="82" t="s">
        <v>190</v>
      </c>
      <c r="B89" s="79">
        <v>558</v>
      </c>
      <c r="C89" s="79">
        <v>3348</v>
      </c>
      <c r="D89" s="54">
        <v>2.9316628342559723E-3</v>
      </c>
      <c r="E89" s="52">
        <v>2</v>
      </c>
      <c r="F89" s="75"/>
      <c r="G89" s="75"/>
      <c r="H89" s="75"/>
      <c r="I89" s="75"/>
      <c r="J89" s="75"/>
      <c r="K89" s="75"/>
      <c r="L89" s="75"/>
    </row>
    <row r="90" spans="1:13" s="74" customFormat="1">
      <c r="A90" s="82" t="s">
        <v>193</v>
      </c>
      <c r="B90" s="87">
        <v>12</v>
      </c>
      <c r="C90" s="79">
        <v>72</v>
      </c>
      <c r="D90" s="54">
        <v>6.304651256464457E-5</v>
      </c>
      <c r="E90" s="52">
        <v>1</v>
      </c>
      <c r="F90" s="75"/>
      <c r="G90" s="75"/>
      <c r="H90" s="75"/>
      <c r="I90" s="75"/>
      <c r="J90" s="75"/>
      <c r="K90" s="75"/>
      <c r="L90" s="75"/>
    </row>
    <row r="91" spans="1:13">
      <c r="A91" s="55" t="s">
        <v>135</v>
      </c>
      <c r="B91" s="56">
        <v>195880</v>
      </c>
      <c r="C91" s="20">
        <v>1142014</v>
      </c>
      <c r="D91" s="57">
        <v>1</v>
      </c>
      <c r="E91" s="52"/>
      <c r="F91" s="52"/>
      <c r="G91" s="17"/>
      <c r="H91" s="17"/>
      <c r="I91" s="17"/>
      <c r="J91" s="17"/>
      <c r="K91" s="17"/>
      <c r="L91" s="17"/>
    </row>
    <row r="92" spans="1:13">
      <c r="A92" s="47"/>
      <c r="B92" s="47"/>
      <c r="C92" s="47"/>
      <c r="D92" s="47"/>
      <c r="E92" s="75"/>
      <c r="F92" s="17"/>
      <c r="G92" s="17"/>
      <c r="H92" s="17"/>
      <c r="I92" s="17"/>
      <c r="J92" s="17"/>
      <c r="K92" s="17"/>
    </row>
    <row r="93" spans="1:13">
      <c r="A93" s="23" t="s">
        <v>162</v>
      </c>
    </row>
    <row r="94" spans="1:13" ht="42" customHeight="1">
      <c r="A94" s="27" t="s">
        <v>160</v>
      </c>
      <c r="B94" s="27" t="s">
        <v>134</v>
      </c>
      <c r="C94" s="27" t="s">
        <v>171</v>
      </c>
      <c r="D94" s="27" t="s">
        <v>2</v>
      </c>
      <c r="E94" s="58"/>
      <c r="F94" s="26"/>
      <c r="G94" s="26"/>
      <c r="H94" s="26"/>
      <c r="I94" s="26"/>
      <c r="J94" s="26"/>
      <c r="K94" s="26"/>
      <c r="L94" s="26"/>
      <c r="M94" s="26"/>
    </row>
    <row r="95" spans="1:13" ht="12.75" customHeight="1">
      <c r="A95" s="99" t="s">
        <v>3</v>
      </c>
      <c r="B95" s="42" t="s">
        <v>181</v>
      </c>
      <c r="C95" s="42">
        <v>420</v>
      </c>
      <c r="D95" s="42">
        <v>2520</v>
      </c>
      <c r="E95" s="58"/>
      <c r="F95" s="26"/>
      <c r="G95" s="26"/>
      <c r="H95" s="26"/>
      <c r="I95" s="26"/>
      <c r="J95" s="26"/>
      <c r="K95" s="26"/>
      <c r="L95" s="26"/>
      <c r="M95" s="26"/>
    </row>
    <row r="96" spans="1:13">
      <c r="A96" s="97"/>
      <c r="B96" s="42" t="s">
        <v>34</v>
      </c>
      <c r="C96" s="42">
        <v>441</v>
      </c>
      <c r="D96" s="42">
        <v>2646</v>
      </c>
      <c r="E96" s="58"/>
      <c r="F96" s="26"/>
      <c r="G96" s="26"/>
      <c r="H96" s="26"/>
      <c r="I96" s="26"/>
      <c r="J96" s="26"/>
      <c r="K96" s="26"/>
      <c r="L96" s="26"/>
      <c r="M96" s="26"/>
    </row>
    <row r="97" spans="1:13">
      <c r="A97" s="97"/>
      <c r="B97" s="42" t="s">
        <v>35</v>
      </c>
      <c r="C97" s="42">
        <v>324</v>
      </c>
      <c r="D97" s="42">
        <v>1944</v>
      </c>
      <c r="E97" s="58"/>
      <c r="F97" s="26"/>
      <c r="G97" s="26"/>
      <c r="H97" s="26"/>
      <c r="I97" s="26"/>
      <c r="J97" s="26"/>
      <c r="K97" s="26"/>
      <c r="L97" s="26"/>
      <c r="M97" s="26"/>
    </row>
    <row r="98" spans="1:13">
      <c r="A98" s="97"/>
      <c r="B98" s="42" t="s">
        <v>36</v>
      </c>
      <c r="C98" s="42">
        <v>2972</v>
      </c>
      <c r="D98" s="42">
        <v>17832</v>
      </c>
      <c r="E98" s="58"/>
      <c r="F98" s="26"/>
      <c r="G98" s="26"/>
      <c r="H98" s="26"/>
      <c r="I98" s="26"/>
      <c r="J98" s="26"/>
      <c r="K98" s="26"/>
      <c r="L98" s="26"/>
      <c r="M98" s="26"/>
    </row>
    <row r="99" spans="1:13">
      <c r="A99" s="97"/>
      <c r="B99" s="42" t="s">
        <v>37</v>
      </c>
      <c r="C99" s="42">
        <v>181</v>
      </c>
      <c r="D99" s="42">
        <v>1086</v>
      </c>
      <c r="E99" s="58"/>
      <c r="F99" s="26"/>
      <c r="G99" s="26"/>
      <c r="H99" s="26"/>
      <c r="I99" s="26"/>
      <c r="J99" s="26"/>
      <c r="K99" s="26"/>
      <c r="L99" s="26"/>
      <c r="M99" s="26"/>
    </row>
    <row r="100" spans="1:13">
      <c r="A100" s="97"/>
      <c r="B100" s="42" t="s">
        <v>38</v>
      </c>
      <c r="C100" s="42">
        <v>233</v>
      </c>
      <c r="D100" s="42">
        <v>1398</v>
      </c>
      <c r="E100" s="58"/>
      <c r="F100" s="26"/>
      <c r="G100" s="26"/>
      <c r="H100" s="26"/>
      <c r="I100" s="26"/>
      <c r="J100" s="26"/>
      <c r="K100" s="26"/>
      <c r="L100" s="26"/>
      <c r="M100" s="26"/>
    </row>
    <row r="101" spans="1:13">
      <c r="A101" s="98"/>
      <c r="B101" s="42" t="s">
        <v>39</v>
      </c>
      <c r="C101" s="42">
        <v>1257</v>
      </c>
      <c r="D101" s="42">
        <v>7542</v>
      </c>
      <c r="E101" s="58"/>
      <c r="F101" s="26"/>
      <c r="G101" s="26"/>
      <c r="H101" s="26"/>
      <c r="I101" s="26"/>
      <c r="J101" s="26"/>
      <c r="K101" s="26"/>
      <c r="L101" s="26"/>
      <c r="M101" s="26"/>
    </row>
    <row r="102" spans="1:13">
      <c r="A102" s="99" t="s">
        <v>4</v>
      </c>
      <c r="B102" s="42" t="s">
        <v>40</v>
      </c>
      <c r="C102" s="42">
        <v>34</v>
      </c>
      <c r="D102" s="42">
        <v>204</v>
      </c>
      <c r="E102" s="58"/>
      <c r="F102" s="26"/>
      <c r="G102" s="26"/>
      <c r="H102" s="26"/>
      <c r="I102" s="26"/>
      <c r="J102" s="26"/>
      <c r="K102" s="26"/>
      <c r="L102" s="26"/>
      <c r="M102" s="26"/>
    </row>
    <row r="103" spans="1:13">
      <c r="A103" s="97"/>
      <c r="B103" s="42" t="s">
        <v>41</v>
      </c>
      <c r="C103" s="42">
        <v>2583</v>
      </c>
      <c r="D103" s="42">
        <v>15498</v>
      </c>
      <c r="E103" s="58"/>
      <c r="F103" s="26"/>
      <c r="G103" s="26"/>
      <c r="H103" s="26"/>
      <c r="I103" s="26"/>
      <c r="J103" s="26"/>
      <c r="K103" s="26"/>
      <c r="L103" s="26"/>
      <c r="M103" s="26"/>
    </row>
    <row r="104" spans="1:13">
      <c r="A104" s="97"/>
      <c r="B104" s="42" t="s">
        <v>42</v>
      </c>
      <c r="C104" s="42">
        <v>6</v>
      </c>
      <c r="D104" s="42">
        <v>36</v>
      </c>
      <c r="E104" s="58"/>
      <c r="F104" s="26"/>
      <c r="G104" s="26"/>
      <c r="H104" s="26"/>
      <c r="I104" s="26"/>
      <c r="J104" s="26"/>
      <c r="K104" s="26"/>
      <c r="L104" s="26"/>
      <c r="M104" s="26"/>
    </row>
    <row r="105" spans="1:13">
      <c r="A105" s="98"/>
      <c r="B105" s="42" t="s">
        <v>43</v>
      </c>
      <c r="C105" s="42">
        <v>85</v>
      </c>
      <c r="D105" s="42">
        <v>510</v>
      </c>
      <c r="E105" s="58"/>
      <c r="F105" s="26"/>
      <c r="G105" s="26"/>
      <c r="H105" s="26"/>
      <c r="I105" s="26"/>
      <c r="J105" s="26"/>
      <c r="K105" s="26"/>
      <c r="L105" s="26"/>
      <c r="M105" s="26"/>
    </row>
    <row r="106" spans="1:13">
      <c r="A106" s="99" t="s">
        <v>5</v>
      </c>
      <c r="B106" s="42" t="s">
        <v>44</v>
      </c>
      <c r="C106" s="42">
        <v>865</v>
      </c>
      <c r="D106" s="42">
        <v>5190</v>
      </c>
      <c r="E106" s="58"/>
      <c r="F106" s="26"/>
      <c r="G106" s="26"/>
      <c r="H106" s="26"/>
      <c r="I106" s="26"/>
      <c r="J106" s="26"/>
      <c r="K106" s="26"/>
      <c r="L106" s="26"/>
      <c r="M106" s="26"/>
    </row>
    <row r="107" spans="1:13">
      <c r="A107" s="97"/>
      <c r="B107" s="42" t="s">
        <v>45</v>
      </c>
      <c r="C107" s="42">
        <v>323</v>
      </c>
      <c r="D107" s="42">
        <v>1938</v>
      </c>
      <c r="E107" s="58"/>
      <c r="F107" s="26"/>
      <c r="G107" s="26"/>
      <c r="H107" s="26"/>
      <c r="I107" s="26"/>
      <c r="J107" s="26"/>
      <c r="K107" s="26"/>
      <c r="L107" s="26"/>
      <c r="M107" s="26"/>
    </row>
    <row r="108" spans="1:13">
      <c r="A108" s="97"/>
      <c r="B108" s="42" t="s">
        <v>46</v>
      </c>
      <c r="C108" s="42">
        <v>351</v>
      </c>
      <c r="D108" s="42">
        <v>2106</v>
      </c>
      <c r="E108" s="58"/>
      <c r="F108" s="26"/>
      <c r="G108" s="26"/>
      <c r="H108" s="26"/>
      <c r="I108" s="26"/>
      <c r="J108" s="26"/>
      <c r="K108" s="26"/>
      <c r="L108" s="26"/>
      <c r="M108" s="26"/>
    </row>
    <row r="109" spans="1:13">
      <c r="A109" s="97"/>
      <c r="B109" s="42" t="s">
        <v>47</v>
      </c>
      <c r="C109" s="42">
        <v>199</v>
      </c>
      <c r="D109" s="42">
        <v>1194</v>
      </c>
      <c r="E109" s="58"/>
      <c r="F109" s="26"/>
      <c r="G109" s="26"/>
      <c r="H109" s="26"/>
      <c r="I109" s="26"/>
      <c r="J109" s="26"/>
      <c r="K109" s="26"/>
      <c r="L109" s="26"/>
      <c r="M109" s="26"/>
    </row>
    <row r="110" spans="1:13">
      <c r="A110" s="97"/>
      <c r="B110" s="42" t="s">
        <v>48</v>
      </c>
      <c r="C110" s="42">
        <v>758</v>
      </c>
      <c r="D110" s="42">
        <v>4548</v>
      </c>
      <c r="E110" s="58"/>
      <c r="F110" s="26"/>
      <c r="G110" s="26"/>
      <c r="H110" s="26"/>
      <c r="I110" s="26"/>
      <c r="J110" s="26"/>
      <c r="K110" s="26"/>
      <c r="L110" s="26"/>
      <c r="M110" s="26"/>
    </row>
    <row r="111" spans="1:13">
      <c r="A111" s="97"/>
      <c r="B111" s="42" t="s">
        <v>49</v>
      </c>
      <c r="C111" s="42">
        <v>119</v>
      </c>
      <c r="D111" s="42">
        <v>714</v>
      </c>
      <c r="E111" s="58"/>
      <c r="F111" s="26"/>
      <c r="G111" s="26"/>
      <c r="H111" s="26"/>
      <c r="I111" s="26"/>
      <c r="J111" s="26"/>
      <c r="K111" s="26"/>
      <c r="L111" s="26"/>
      <c r="M111" s="26"/>
    </row>
    <row r="112" spans="1:13">
      <c r="A112" s="97"/>
      <c r="B112" s="42" t="s">
        <v>50</v>
      </c>
      <c r="C112" s="42">
        <v>1445</v>
      </c>
      <c r="D112" s="42">
        <v>8670</v>
      </c>
      <c r="E112" s="58"/>
      <c r="F112" s="26"/>
      <c r="G112" s="26"/>
      <c r="H112" s="26"/>
      <c r="I112" s="26"/>
      <c r="J112" s="26"/>
      <c r="K112" s="26"/>
      <c r="L112" s="26"/>
      <c r="M112" s="26"/>
    </row>
    <row r="113" spans="1:13">
      <c r="A113" s="97"/>
      <c r="B113" s="42" t="s">
        <v>51</v>
      </c>
      <c r="C113" s="42">
        <v>353</v>
      </c>
      <c r="D113" s="42">
        <v>2118</v>
      </c>
      <c r="E113" s="58"/>
      <c r="F113" s="26"/>
      <c r="G113" s="26"/>
      <c r="H113" s="26"/>
      <c r="I113" s="26"/>
      <c r="J113" s="26"/>
      <c r="K113" s="26"/>
      <c r="L113" s="26"/>
      <c r="M113" s="26"/>
    </row>
    <row r="114" spans="1:13">
      <c r="A114" s="97"/>
      <c r="B114" s="42" t="s">
        <v>52</v>
      </c>
      <c r="C114" s="42">
        <v>1</v>
      </c>
      <c r="D114" s="42">
        <v>6</v>
      </c>
      <c r="E114" s="58"/>
      <c r="F114" s="26"/>
      <c r="G114" s="26"/>
      <c r="H114" s="26"/>
      <c r="I114" s="26"/>
      <c r="J114" s="26"/>
      <c r="K114" s="26"/>
      <c r="L114" s="26"/>
      <c r="M114" s="26"/>
    </row>
    <row r="115" spans="1:13">
      <c r="A115" s="98"/>
      <c r="B115" s="42" t="s">
        <v>53</v>
      </c>
      <c r="C115" s="42">
        <v>25</v>
      </c>
      <c r="D115" s="42">
        <v>150</v>
      </c>
      <c r="E115" s="58"/>
      <c r="F115" s="26"/>
      <c r="G115" s="26"/>
      <c r="H115" s="26"/>
      <c r="I115" s="26"/>
      <c r="J115" s="26"/>
      <c r="K115" s="26"/>
      <c r="L115" s="26"/>
      <c r="M115" s="26"/>
    </row>
    <row r="116" spans="1:13">
      <c r="A116" s="99" t="s">
        <v>6</v>
      </c>
      <c r="B116" s="42" t="s">
        <v>54</v>
      </c>
      <c r="C116" s="42">
        <v>169</v>
      </c>
      <c r="D116" s="42">
        <v>1014</v>
      </c>
      <c r="E116" s="58"/>
      <c r="F116" s="26"/>
      <c r="G116" s="26"/>
      <c r="H116" s="26"/>
      <c r="I116" s="26"/>
      <c r="J116" s="26"/>
      <c r="K116" s="26"/>
      <c r="L116" s="26"/>
      <c r="M116" s="26"/>
    </row>
    <row r="117" spans="1:13">
      <c r="A117" s="97"/>
      <c r="B117" s="42" t="s">
        <v>55</v>
      </c>
      <c r="C117" s="42">
        <v>26</v>
      </c>
      <c r="D117" s="42">
        <v>156</v>
      </c>
      <c r="E117" s="58"/>
      <c r="F117" s="26"/>
      <c r="G117" s="26"/>
      <c r="H117" s="26"/>
      <c r="I117" s="26"/>
      <c r="J117" s="26"/>
      <c r="K117" s="26"/>
      <c r="L117" s="26"/>
      <c r="M117" s="26"/>
    </row>
    <row r="118" spans="1:13">
      <c r="A118" s="97"/>
      <c r="B118" s="42" t="s">
        <v>56</v>
      </c>
      <c r="C118" s="42">
        <v>41</v>
      </c>
      <c r="D118" s="42">
        <v>246</v>
      </c>
      <c r="E118" s="58"/>
      <c r="F118" s="26"/>
      <c r="G118" s="26"/>
      <c r="H118" s="26"/>
      <c r="I118" s="26"/>
      <c r="J118" s="26"/>
      <c r="K118" s="26"/>
      <c r="L118" s="26"/>
      <c r="M118" s="26"/>
    </row>
    <row r="119" spans="1:13">
      <c r="A119" s="97"/>
      <c r="B119" s="42" t="s">
        <v>57</v>
      </c>
      <c r="C119" s="42">
        <v>190</v>
      </c>
      <c r="D119" s="42">
        <v>1140</v>
      </c>
      <c r="E119" s="58"/>
      <c r="F119" s="26"/>
      <c r="G119" s="26"/>
      <c r="H119" s="26"/>
      <c r="I119" s="26"/>
      <c r="J119" s="26"/>
      <c r="K119" s="26"/>
      <c r="L119" s="26"/>
      <c r="M119" s="26"/>
    </row>
    <row r="120" spans="1:13">
      <c r="A120" s="97"/>
      <c r="B120" s="42" t="s">
        <v>6</v>
      </c>
      <c r="C120" s="42">
        <v>312</v>
      </c>
      <c r="D120" s="42">
        <v>1872</v>
      </c>
      <c r="E120" s="58"/>
      <c r="F120" s="26"/>
      <c r="G120" s="26"/>
      <c r="H120" s="26"/>
      <c r="I120" s="26"/>
      <c r="J120" s="26"/>
      <c r="K120" s="26"/>
      <c r="L120" s="26"/>
      <c r="M120" s="26"/>
    </row>
    <row r="121" spans="1:13">
      <c r="A121" s="97"/>
      <c r="B121" s="42" t="s">
        <v>58</v>
      </c>
      <c r="C121" s="42">
        <v>8</v>
      </c>
      <c r="D121" s="42">
        <v>48</v>
      </c>
      <c r="E121" s="58"/>
      <c r="F121" s="26"/>
      <c r="G121" s="26"/>
      <c r="H121" s="26"/>
      <c r="I121" s="26"/>
      <c r="J121" s="26"/>
      <c r="K121" s="26"/>
      <c r="L121" s="26"/>
      <c r="M121" s="26"/>
    </row>
    <row r="122" spans="1:13">
      <c r="A122" s="98"/>
      <c r="B122" s="42" t="s">
        <v>59</v>
      </c>
      <c r="C122" s="42">
        <v>63</v>
      </c>
      <c r="D122" s="42">
        <v>378</v>
      </c>
      <c r="E122" s="58"/>
      <c r="F122" s="26"/>
      <c r="G122" s="26"/>
      <c r="H122" s="26"/>
      <c r="I122" s="26"/>
      <c r="J122" s="26"/>
      <c r="K122" s="26"/>
      <c r="L122" s="26"/>
      <c r="M122" s="26"/>
    </row>
    <row r="123" spans="1:13">
      <c r="A123" s="99" t="s">
        <v>7</v>
      </c>
      <c r="B123" s="42" t="s">
        <v>60</v>
      </c>
      <c r="C123" s="42">
        <v>768</v>
      </c>
      <c r="D123" s="42">
        <v>4214</v>
      </c>
      <c r="E123" s="58"/>
      <c r="F123" s="26"/>
      <c r="G123" s="26"/>
      <c r="H123" s="26"/>
      <c r="I123" s="26"/>
      <c r="J123" s="26"/>
      <c r="K123" s="26"/>
      <c r="L123" s="26"/>
      <c r="M123" s="26"/>
    </row>
    <row r="124" spans="1:13">
      <c r="A124" s="97"/>
      <c r="B124" s="42" t="s">
        <v>7</v>
      </c>
      <c r="C124" s="42">
        <v>4172</v>
      </c>
      <c r="D124" s="42">
        <v>25032</v>
      </c>
      <c r="E124" s="58"/>
      <c r="F124" s="26"/>
      <c r="G124" s="26"/>
      <c r="H124" s="26"/>
      <c r="I124" s="26"/>
      <c r="J124" s="26"/>
      <c r="K124" s="26"/>
      <c r="L124" s="26"/>
      <c r="M124" s="26"/>
    </row>
    <row r="125" spans="1:13">
      <c r="A125" s="97"/>
      <c r="B125" s="42" t="s">
        <v>62</v>
      </c>
      <c r="C125" s="42">
        <v>24824</v>
      </c>
      <c r="D125" s="42">
        <v>135042</v>
      </c>
      <c r="E125" s="58"/>
      <c r="F125" s="26"/>
      <c r="G125" s="26"/>
      <c r="H125" s="26"/>
      <c r="I125" s="26"/>
      <c r="J125" s="26"/>
      <c r="K125" s="26"/>
      <c r="L125" s="26"/>
      <c r="M125" s="26"/>
    </row>
    <row r="126" spans="1:13">
      <c r="A126" s="98"/>
      <c r="B126" s="42" t="s">
        <v>63</v>
      </c>
      <c r="C126" s="42">
        <v>13820</v>
      </c>
      <c r="D126" s="42">
        <v>76012</v>
      </c>
      <c r="E126" s="58"/>
      <c r="F126" s="26"/>
      <c r="G126" s="26"/>
      <c r="H126" s="26"/>
      <c r="I126" s="26"/>
      <c r="J126" s="26"/>
      <c r="K126" s="26"/>
      <c r="L126" s="26"/>
      <c r="M126" s="26"/>
    </row>
    <row r="127" spans="1:13">
      <c r="A127" s="99" t="s">
        <v>8</v>
      </c>
      <c r="B127" s="42" t="s">
        <v>64</v>
      </c>
      <c r="C127" s="42">
        <v>688</v>
      </c>
      <c r="D127" s="42">
        <v>4128</v>
      </c>
      <c r="E127" s="58"/>
      <c r="F127" s="26"/>
      <c r="G127" s="26"/>
      <c r="H127" s="26"/>
      <c r="I127" s="26"/>
      <c r="J127" s="26"/>
      <c r="K127" s="26"/>
      <c r="L127" s="26"/>
      <c r="M127" s="26"/>
    </row>
    <row r="128" spans="1:13">
      <c r="A128" s="97"/>
      <c r="B128" s="42" t="s">
        <v>65</v>
      </c>
      <c r="C128" s="42">
        <v>75</v>
      </c>
      <c r="D128" s="42">
        <v>450</v>
      </c>
      <c r="E128" s="58"/>
      <c r="F128" s="26"/>
      <c r="G128" s="26"/>
      <c r="H128" s="26"/>
      <c r="I128" s="26"/>
      <c r="J128" s="26"/>
      <c r="K128" s="26"/>
      <c r="L128" s="26"/>
      <c r="M128" s="26"/>
    </row>
    <row r="129" spans="1:13">
      <c r="A129" s="97"/>
      <c r="B129" s="42" t="s">
        <v>67</v>
      </c>
      <c r="C129" s="42">
        <v>78</v>
      </c>
      <c r="D129" s="42">
        <v>468</v>
      </c>
      <c r="E129" s="58"/>
      <c r="F129" s="26"/>
      <c r="G129" s="26"/>
      <c r="H129" s="26"/>
      <c r="I129" s="26"/>
      <c r="J129" s="26"/>
      <c r="K129" s="26"/>
      <c r="L129" s="26"/>
      <c r="M129" s="26"/>
    </row>
    <row r="130" spans="1:13">
      <c r="A130" s="97"/>
      <c r="B130" s="42" t="s">
        <v>66</v>
      </c>
      <c r="C130" s="42">
        <v>3286</v>
      </c>
      <c r="D130" s="42">
        <v>19716</v>
      </c>
      <c r="E130" s="58"/>
      <c r="F130" s="26"/>
      <c r="G130" s="26"/>
      <c r="H130" s="26"/>
      <c r="I130" s="26"/>
      <c r="J130" s="26"/>
      <c r="K130" s="26"/>
      <c r="L130" s="26"/>
      <c r="M130" s="26"/>
    </row>
    <row r="131" spans="1:13">
      <c r="A131" s="97"/>
      <c r="B131" s="42" t="s">
        <v>68</v>
      </c>
      <c r="C131" s="42">
        <v>2174</v>
      </c>
      <c r="D131" s="42">
        <v>12978</v>
      </c>
      <c r="E131" s="58"/>
      <c r="F131" s="26"/>
      <c r="G131" s="26"/>
      <c r="H131" s="26"/>
      <c r="I131" s="26"/>
      <c r="J131" s="26"/>
      <c r="K131" s="26"/>
      <c r="L131" s="26"/>
      <c r="M131" s="26"/>
    </row>
    <row r="132" spans="1:13">
      <c r="A132" s="98"/>
      <c r="B132" s="42" t="s">
        <v>69</v>
      </c>
      <c r="C132" s="42">
        <v>1059</v>
      </c>
      <c r="D132" s="42">
        <v>6354</v>
      </c>
      <c r="E132" s="58"/>
      <c r="F132" s="26"/>
      <c r="G132" s="26"/>
      <c r="H132" s="26"/>
      <c r="I132" s="26"/>
      <c r="J132" s="26"/>
      <c r="K132" s="26"/>
      <c r="L132" s="26"/>
      <c r="M132" s="26"/>
    </row>
    <row r="133" spans="1:13">
      <c r="A133" s="99" t="s">
        <v>9</v>
      </c>
      <c r="B133" s="42" t="s">
        <v>9</v>
      </c>
      <c r="C133" s="42">
        <v>35824</v>
      </c>
      <c r="D133" s="42">
        <v>213771</v>
      </c>
      <c r="E133" s="58"/>
      <c r="F133" s="26"/>
      <c r="G133" s="26"/>
      <c r="H133" s="26"/>
      <c r="I133" s="26"/>
      <c r="J133" s="26"/>
      <c r="K133" s="26"/>
      <c r="L133" s="26"/>
      <c r="M133" s="26"/>
    </row>
    <row r="134" spans="1:13">
      <c r="A134" s="97"/>
      <c r="B134" s="42" t="s">
        <v>70</v>
      </c>
      <c r="C134" s="42">
        <v>313</v>
      </c>
      <c r="D134" s="42">
        <v>1878</v>
      </c>
      <c r="E134" s="58"/>
      <c r="F134" s="26"/>
      <c r="G134" s="26"/>
      <c r="H134" s="26"/>
      <c r="I134" s="26"/>
      <c r="J134" s="26"/>
      <c r="K134" s="26"/>
      <c r="L134" s="26"/>
      <c r="M134" s="26"/>
    </row>
    <row r="135" spans="1:13">
      <c r="A135" s="97"/>
      <c r="B135" s="42" t="s">
        <v>71</v>
      </c>
      <c r="C135" s="42">
        <v>1327</v>
      </c>
      <c r="D135" s="42">
        <v>6635</v>
      </c>
      <c r="E135" s="58"/>
      <c r="F135" s="26"/>
      <c r="G135" s="26"/>
      <c r="H135" s="26"/>
      <c r="I135" s="26"/>
      <c r="J135" s="26"/>
      <c r="K135" s="26"/>
      <c r="L135" s="26"/>
      <c r="M135" s="26"/>
    </row>
    <row r="136" spans="1:13">
      <c r="A136" s="97"/>
      <c r="B136" s="42" t="s">
        <v>72</v>
      </c>
      <c r="C136" s="42">
        <v>31</v>
      </c>
      <c r="D136" s="42">
        <v>186</v>
      </c>
      <c r="E136" s="58"/>
      <c r="F136" s="26"/>
      <c r="G136" s="26"/>
      <c r="H136" s="26"/>
      <c r="I136" s="26"/>
      <c r="J136" s="26"/>
      <c r="K136" s="26"/>
      <c r="L136" s="26"/>
      <c r="M136" s="26"/>
    </row>
    <row r="137" spans="1:13">
      <c r="A137" s="97"/>
      <c r="B137" s="42" t="s">
        <v>73</v>
      </c>
      <c r="C137" s="42">
        <v>807</v>
      </c>
      <c r="D137" s="42">
        <v>4842</v>
      </c>
      <c r="E137" s="58"/>
      <c r="F137" s="26"/>
      <c r="G137" s="26"/>
      <c r="H137" s="26"/>
      <c r="I137" s="26"/>
      <c r="J137" s="26"/>
      <c r="K137" s="26"/>
      <c r="L137" s="26"/>
      <c r="M137" s="26"/>
    </row>
    <row r="138" spans="1:13">
      <c r="A138" s="98"/>
      <c r="B138" s="42" t="s">
        <v>74</v>
      </c>
      <c r="C138" s="42">
        <v>267</v>
      </c>
      <c r="D138" s="42">
        <v>1602</v>
      </c>
      <c r="E138" s="58"/>
      <c r="F138" s="26"/>
      <c r="G138" s="26"/>
      <c r="H138" s="26"/>
      <c r="I138" s="26"/>
      <c r="J138" s="26"/>
      <c r="K138" s="26"/>
      <c r="L138" s="26"/>
      <c r="M138" s="26"/>
    </row>
    <row r="139" spans="1:13">
      <c r="A139" s="99" t="s">
        <v>10</v>
      </c>
      <c r="B139" s="42" t="s">
        <v>75</v>
      </c>
      <c r="C139" s="42">
        <v>23</v>
      </c>
      <c r="D139" s="42">
        <v>138</v>
      </c>
      <c r="E139" s="58"/>
      <c r="F139" s="26"/>
      <c r="G139" s="26"/>
      <c r="H139" s="26"/>
      <c r="I139" s="26"/>
      <c r="J139" s="26"/>
      <c r="K139" s="26"/>
      <c r="L139" s="26"/>
      <c r="M139" s="26"/>
    </row>
    <row r="140" spans="1:13">
      <c r="A140" s="97"/>
      <c r="B140" s="42" t="s">
        <v>76</v>
      </c>
      <c r="C140" s="42">
        <v>147</v>
      </c>
      <c r="D140" s="42">
        <v>882</v>
      </c>
      <c r="E140" s="58"/>
      <c r="F140" s="26"/>
      <c r="G140" s="26"/>
      <c r="H140" s="26"/>
      <c r="I140" s="26"/>
      <c r="J140" s="26"/>
      <c r="K140" s="26"/>
      <c r="L140" s="26"/>
      <c r="M140" s="26"/>
    </row>
    <row r="141" spans="1:13">
      <c r="A141" s="98"/>
      <c r="B141" s="42" t="s">
        <v>10</v>
      </c>
      <c r="C141" s="42">
        <v>1535</v>
      </c>
      <c r="D141" s="42">
        <v>9210</v>
      </c>
      <c r="E141" s="58"/>
      <c r="F141" s="26"/>
      <c r="G141" s="26"/>
      <c r="H141" s="26"/>
      <c r="I141" s="26"/>
      <c r="J141" s="26"/>
      <c r="K141" s="26"/>
      <c r="L141" s="26"/>
      <c r="M141" s="26"/>
    </row>
    <row r="142" spans="1:13">
      <c r="A142" s="99" t="s">
        <v>11</v>
      </c>
      <c r="B142" s="42" t="s">
        <v>77</v>
      </c>
      <c r="C142" s="42">
        <v>198</v>
      </c>
      <c r="D142" s="42">
        <v>1188</v>
      </c>
      <c r="E142" s="58"/>
      <c r="F142" s="26"/>
      <c r="G142" s="26"/>
      <c r="H142" s="26"/>
      <c r="I142" s="26"/>
      <c r="J142" s="26"/>
      <c r="K142" s="26"/>
      <c r="L142" s="26"/>
      <c r="M142" s="26"/>
    </row>
    <row r="143" spans="1:13">
      <c r="A143" s="97"/>
      <c r="B143" s="42" t="s">
        <v>78</v>
      </c>
      <c r="C143" s="42">
        <v>240</v>
      </c>
      <c r="D143" s="42">
        <v>1440</v>
      </c>
      <c r="E143" s="58"/>
      <c r="F143" s="26"/>
      <c r="G143" s="26"/>
      <c r="H143" s="26"/>
      <c r="I143" s="26"/>
      <c r="J143" s="26"/>
      <c r="K143" s="26"/>
      <c r="L143" s="26"/>
      <c r="M143" s="26"/>
    </row>
    <row r="144" spans="1:13">
      <c r="A144" s="97"/>
      <c r="B144" s="42" t="s">
        <v>79</v>
      </c>
      <c r="C144" s="42">
        <v>1072</v>
      </c>
      <c r="D144" s="42">
        <v>6432</v>
      </c>
      <c r="E144" s="58"/>
      <c r="F144" s="26"/>
      <c r="G144" s="26"/>
      <c r="H144" s="26"/>
      <c r="I144" s="26"/>
      <c r="J144" s="26"/>
      <c r="K144" s="26"/>
      <c r="L144" s="26"/>
      <c r="M144" s="26"/>
    </row>
    <row r="145" spans="1:13">
      <c r="A145" s="98"/>
      <c r="B145" s="42" t="s">
        <v>11</v>
      </c>
      <c r="C145" s="42">
        <v>13934</v>
      </c>
      <c r="D145" s="42">
        <v>83604</v>
      </c>
      <c r="E145" s="58"/>
      <c r="F145" s="26"/>
      <c r="G145" s="26"/>
      <c r="H145" s="26"/>
      <c r="I145" s="26"/>
      <c r="J145" s="26"/>
      <c r="K145" s="26"/>
      <c r="L145" s="26"/>
      <c r="M145" s="26"/>
    </row>
    <row r="146" spans="1:13">
      <c r="A146" s="99" t="s">
        <v>12</v>
      </c>
      <c r="B146" s="42" t="s">
        <v>83</v>
      </c>
      <c r="C146" s="42">
        <v>8</v>
      </c>
      <c r="D146" s="42">
        <v>48</v>
      </c>
      <c r="E146" s="58"/>
      <c r="F146" s="26"/>
      <c r="G146" s="26"/>
      <c r="H146" s="26"/>
      <c r="I146" s="26"/>
      <c r="J146" s="26"/>
      <c r="K146" s="26"/>
      <c r="L146" s="26"/>
      <c r="M146" s="26"/>
    </row>
    <row r="147" spans="1:13">
      <c r="A147" s="97"/>
      <c r="B147" s="42" t="s">
        <v>80</v>
      </c>
      <c r="C147" s="42">
        <v>3</v>
      </c>
      <c r="D147" s="42">
        <v>18</v>
      </c>
      <c r="E147" s="58"/>
      <c r="F147" s="26"/>
      <c r="G147" s="26"/>
      <c r="H147" s="26"/>
      <c r="I147" s="26"/>
      <c r="J147" s="26"/>
      <c r="K147" s="26"/>
      <c r="L147" s="26"/>
      <c r="M147" s="26"/>
    </row>
    <row r="148" spans="1:13">
      <c r="A148" s="97"/>
      <c r="B148" s="42" t="s">
        <v>81</v>
      </c>
      <c r="C148" s="42">
        <v>2</v>
      </c>
      <c r="D148" s="42">
        <v>12</v>
      </c>
      <c r="E148" s="58"/>
      <c r="F148" s="26"/>
      <c r="G148" s="26"/>
      <c r="H148" s="26"/>
      <c r="I148" s="26"/>
      <c r="J148" s="26"/>
      <c r="K148" s="26"/>
      <c r="L148" s="26"/>
      <c r="M148" s="26"/>
    </row>
    <row r="149" spans="1:13">
      <c r="A149" s="97"/>
      <c r="B149" s="42" t="s">
        <v>82</v>
      </c>
      <c r="C149" s="42">
        <v>17</v>
      </c>
      <c r="D149" s="42">
        <v>102</v>
      </c>
      <c r="E149" s="58"/>
      <c r="F149" s="26"/>
      <c r="G149" s="26"/>
      <c r="H149" s="26"/>
      <c r="I149" s="26"/>
      <c r="J149" s="26"/>
      <c r="K149" s="26"/>
      <c r="L149" s="26"/>
      <c r="M149" s="26"/>
    </row>
    <row r="150" spans="1:13">
      <c r="A150" s="97"/>
      <c r="B150" s="42" t="s">
        <v>84</v>
      </c>
      <c r="C150" s="42">
        <v>166</v>
      </c>
      <c r="D150" s="42">
        <v>996</v>
      </c>
      <c r="E150" s="58"/>
      <c r="F150" s="26"/>
      <c r="G150" s="26"/>
      <c r="H150" s="26"/>
      <c r="I150" s="26"/>
      <c r="J150" s="26"/>
      <c r="K150" s="26"/>
      <c r="L150" s="26"/>
      <c r="M150" s="26"/>
    </row>
    <row r="151" spans="1:13">
      <c r="A151" s="98"/>
      <c r="B151" s="42" t="s">
        <v>85</v>
      </c>
      <c r="C151" s="42">
        <v>15</v>
      </c>
      <c r="D151" s="42">
        <v>90</v>
      </c>
      <c r="E151" s="58"/>
      <c r="F151" s="26"/>
      <c r="G151" s="26"/>
      <c r="H151" s="26"/>
      <c r="I151" s="26"/>
      <c r="J151" s="26"/>
      <c r="K151" s="26"/>
      <c r="L151" s="26"/>
      <c r="M151" s="26"/>
    </row>
    <row r="152" spans="1:13">
      <c r="A152" s="99" t="s">
        <v>13</v>
      </c>
      <c r="B152" s="42" t="s">
        <v>86</v>
      </c>
      <c r="C152" s="42">
        <v>6</v>
      </c>
      <c r="D152" s="42">
        <v>36</v>
      </c>
      <c r="E152" s="58"/>
      <c r="F152" s="26"/>
      <c r="G152" s="26"/>
      <c r="H152" s="26"/>
      <c r="I152" s="26"/>
      <c r="J152" s="26"/>
      <c r="K152" s="26"/>
      <c r="L152" s="26"/>
      <c r="M152" s="26"/>
    </row>
    <row r="153" spans="1:13">
      <c r="A153" s="97"/>
      <c r="B153" s="42" t="s">
        <v>87</v>
      </c>
      <c r="C153" s="42">
        <v>42</v>
      </c>
      <c r="D153" s="42">
        <v>252</v>
      </c>
      <c r="E153" s="58"/>
      <c r="F153" s="26"/>
      <c r="G153" s="26"/>
      <c r="H153" s="26"/>
      <c r="I153" s="26"/>
      <c r="J153" s="26"/>
      <c r="K153" s="26"/>
      <c r="L153" s="26"/>
      <c r="M153" s="26"/>
    </row>
    <row r="154" spans="1:13">
      <c r="A154" s="98"/>
      <c r="B154" s="42" t="s">
        <v>88</v>
      </c>
      <c r="C154" s="42">
        <v>72</v>
      </c>
      <c r="D154" s="42">
        <v>432</v>
      </c>
      <c r="E154" s="58"/>
      <c r="F154" s="26"/>
      <c r="G154" s="26"/>
      <c r="H154" s="26"/>
      <c r="I154" s="26"/>
      <c r="J154" s="26"/>
      <c r="K154" s="26"/>
      <c r="L154" s="26"/>
      <c r="M154" s="26"/>
    </row>
    <row r="155" spans="1:13">
      <c r="A155" s="99" t="s">
        <v>14</v>
      </c>
      <c r="B155" s="42" t="s">
        <v>89</v>
      </c>
      <c r="C155" s="42">
        <v>15</v>
      </c>
      <c r="D155" s="42">
        <v>90</v>
      </c>
      <c r="E155" s="58"/>
      <c r="F155" s="26"/>
      <c r="G155" s="26"/>
      <c r="H155" s="26"/>
      <c r="I155" s="26"/>
      <c r="J155" s="26"/>
      <c r="K155" s="26"/>
      <c r="L155" s="26"/>
      <c r="M155" s="26"/>
    </row>
    <row r="156" spans="1:13">
      <c r="A156" s="97"/>
      <c r="B156" s="42" t="s">
        <v>90</v>
      </c>
      <c r="C156" s="42">
        <v>255</v>
      </c>
      <c r="D156" s="42">
        <v>1530</v>
      </c>
      <c r="E156" s="58"/>
      <c r="F156" s="26"/>
      <c r="G156" s="26"/>
      <c r="H156" s="26"/>
      <c r="I156" s="26"/>
      <c r="J156" s="26"/>
      <c r="K156" s="26"/>
      <c r="L156" s="26"/>
      <c r="M156" s="26"/>
    </row>
    <row r="157" spans="1:13">
      <c r="A157" s="98"/>
      <c r="B157" s="42" t="s">
        <v>14</v>
      </c>
      <c r="C157" s="42">
        <v>979</v>
      </c>
      <c r="D157" s="42">
        <v>5874</v>
      </c>
      <c r="E157" s="58"/>
      <c r="F157" s="26"/>
      <c r="G157" s="26"/>
      <c r="H157" s="26"/>
      <c r="I157" s="26"/>
      <c r="J157" s="26"/>
      <c r="K157" s="26"/>
      <c r="L157" s="26"/>
      <c r="M157" s="26"/>
    </row>
    <row r="158" spans="1:13">
      <c r="A158" s="99" t="s">
        <v>15</v>
      </c>
      <c r="B158" s="42" t="s">
        <v>91</v>
      </c>
      <c r="C158" s="42">
        <v>4719</v>
      </c>
      <c r="D158" s="42">
        <v>28141</v>
      </c>
      <c r="E158" s="58"/>
      <c r="F158" s="26"/>
      <c r="G158" s="26"/>
      <c r="H158" s="26"/>
      <c r="I158" s="26"/>
      <c r="J158" s="26"/>
      <c r="K158" s="26"/>
      <c r="L158" s="26"/>
      <c r="M158" s="26"/>
    </row>
    <row r="159" spans="1:13">
      <c r="A159" s="97"/>
      <c r="B159" s="42" t="s">
        <v>92</v>
      </c>
      <c r="C159" s="42">
        <v>1281</v>
      </c>
      <c r="D159" s="42">
        <v>7686</v>
      </c>
      <c r="E159" s="58"/>
      <c r="F159" s="26"/>
      <c r="G159" s="26"/>
      <c r="H159" s="26"/>
      <c r="I159" s="26"/>
      <c r="J159" s="26"/>
      <c r="K159" s="26"/>
      <c r="L159" s="26"/>
      <c r="M159" s="26"/>
    </row>
    <row r="160" spans="1:13">
      <c r="A160" s="97"/>
      <c r="B160" s="42" t="s">
        <v>93</v>
      </c>
      <c r="C160" s="42">
        <v>2694</v>
      </c>
      <c r="D160" s="42">
        <v>13498</v>
      </c>
      <c r="E160" s="58"/>
      <c r="F160" s="26"/>
      <c r="G160" s="26"/>
      <c r="H160" s="26"/>
      <c r="I160" s="26"/>
      <c r="J160" s="26"/>
      <c r="K160" s="26"/>
      <c r="L160" s="26"/>
      <c r="M160" s="26"/>
    </row>
    <row r="161" spans="1:13">
      <c r="A161" s="97"/>
      <c r="B161" s="42" t="s">
        <v>94</v>
      </c>
      <c r="C161" s="42">
        <v>7659</v>
      </c>
      <c r="D161" s="42">
        <v>41396</v>
      </c>
      <c r="E161" s="58"/>
      <c r="F161" s="26"/>
      <c r="G161" s="26"/>
      <c r="H161" s="26"/>
      <c r="I161" s="26"/>
      <c r="J161" s="26"/>
      <c r="K161" s="26"/>
      <c r="L161" s="26"/>
      <c r="M161" s="26"/>
    </row>
    <row r="162" spans="1:13">
      <c r="A162" s="97"/>
      <c r="B162" s="42" t="s">
        <v>95</v>
      </c>
      <c r="C162" s="42">
        <v>642</v>
      </c>
      <c r="D162" s="42">
        <v>3852</v>
      </c>
      <c r="E162" s="58"/>
      <c r="F162" s="26"/>
      <c r="G162" s="26"/>
      <c r="H162" s="26"/>
      <c r="I162" s="26"/>
      <c r="J162" s="26"/>
      <c r="K162" s="26"/>
      <c r="L162" s="26"/>
      <c r="M162" s="26"/>
    </row>
    <row r="163" spans="1:13">
      <c r="A163" s="97"/>
      <c r="B163" s="42" t="s">
        <v>96</v>
      </c>
      <c r="C163" s="42">
        <v>15594</v>
      </c>
      <c r="D163" s="42">
        <v>93564</v>
      </c>
      <c r="E163" s="58"/>
      <c r="F163" s="26"/>
      <c r="G163" s="26"/>
      <c r="H163" s="26"/>
      <c r="I163" s="26"/>
      <c r="J163" s="26"/>
      <c r="K163" s="26"/>
      <c r="L163" s="26"/>
      <c r="M163" s="26"/>
    </row>
    <row r="164" spans="1:13">
      <c r="A164" s="97"/>
      <c r="B164" s="42" t="s">
        <v>97</v>
      </c>
      <c r="C164" s="42">
        <v>6220</v>
      </c>
      <c r="D164" s="42">
        <v>37320</v>
      </c>
      <c r="E164" s="58"/>
      <c r="F164" s="26"/>
      <c r="G164" s="26"/>
      <c r="H164" s="26"/>
      <c r="I164" s="26"/>
      <c r="J164" s="26"/>
      <c r="K164" s="26"/>
      <c r="L164" s="26"/>
      <c r="M164" s="26"/>
    </row>
    <row r="165" spans="1:13">
      <c r="A165" s="97"/>
      <c r="B165" s="42" t="s">
        <v>98</v>
      </c>
      <c r="C165" s="42">
        <v>1383</v>
      </c>
      <c r="D165" s="42">
        <v>8298</v>
      </c>
      <c r="E165" s="58"/>
      <c r="F165" s="26"/>
      <c r="G165" s="26"/>
      <c r="H165" s="26"/>
      <c r="I165" s="26"/>
      <c r="J165" s="26"/>
      <c r="K165" s="26"/>
      <c r="L165" s="26"/>
      <c r="M165" s="26"/>
    </row>
    <row r="166" spans="1:13">
      <c r="A166" s="98"/>
      <c r="B166" s="42" t="s">
        <v>99</v>
      </c>
      <c r="C166" s="42">
        <v>1292</v>
      </c>
      <c r="D166" s="42">
        <v>7752</v>
      </c>
      <c r="E166" s="58"/>
      <c r="F166" s="26"/>
      <c r="G166" s="26"/>
      <c r="H166" s="26"/>
      <c r="I166" s="26"/>
      <c r="J166" s="26"/>
      <c r="K166" s="26"/>
      <c r="L166" s="26"/>
      <c r="M166" s="26"/>
    </row>
    <row r="167" spans="1:13">
      <c r="A167" s="99" t="s">
        <v>16</v>
      </c>
      <c r="B167" s="42" t="s">
        <v>100</v>
      </c>
      <c r="C167" s="42">
        <v>113</v>
      </c>
      <c r="D167" s="42">
        <v>678</v>
      </c>
      <c r="E167" s="58"/>
      <c r="F167" s="26"/>
      <c r="G167" s="26"/>
      <c r="H167" s="26"/>
      <c r="I167" s="26"/>
      <c r="J167" s="26"/>
      <c r="K167" s="26"/>
      <c r="L167" s="26"/>
      <c r="M167" s="26"/>
    </row>
    <row r="168" spans="1:13">
      <c r="A168" s="97"/>
      <c r="B168" s="42" t="s">
        <v>101</v>
      </c>
      <c r="C168" s="42">
        <v>34</v>
      </c>
      <c r="D168" s="42">
        <v>204</v>
      </c>
      <c r="E168" s="58"/>
      <c r="F168" s="26"/>
      <c r="G168" s="26"/>
      <c r="H168" s="26"/>
      <c r="I168" s="26"/>
      <c r="J168" s="26"/>
      <c r="K168" s="26"/>
      <c r="L168" s="26"/>
      <c r="M168" s="26"/>
    </row>
    <row r="169" spans="1:13">
      <c r="A169" s="97"/>
      <c r="B169" s="42" t="s">
        <v>102</v>
      </c>
      <c r="C169" s="42">
        <v>255</v>
      </c>
      <c r="D169" s="42">
        <v>1530</v>
      </c>
      <c r="E169" s="58"/>
      <c r="F169" s="26"/>
      <c r="G169" s="26"/>
      <c r="H169" s="26"/>
      <c r="I169" s="26"/>
      <c r="J169" s="26"/>
      <c r="K169" s="26"/>
      <c r="L169" s="26"/>
      <c r="M169" s="26"/>
    </row>
    <row r="170" spans="1:13">
      <c r="A170" s="98"/>
      <c r="B170" s="42" t="s">
        <v>61</v>
      </c>
      <c r="C170" s="42">
        <v>10</v>
      </c>
      <c r="D170" s="42">
        <v>60</v>
      </c>
      <c r="E170" s="58"/>
      <c r="F170" s="26"/>
      <c r="G170" s="26"/>
      <c r="H170" s="26"/>
      <c r="I170" s="26"/>
      <c r="J170" s="26"/>
      <c r="K170" s="26"/>
      <c r="L170" s="26"/>
      <c r="M170" s="26"/>
    </row>
    <row r="171" spans="1:13">
      <c r="A171" s="99" t="s">
        <v>17</v>
      </c>
      <c r="B171" s="42" t="s">
        <v>103</v>
      </c>
      <c r="C171" s="42">
        <v>68</v>
      </c>
      <c r="D171" s="42">
        <v>408</v>
      </c>
      <c r="E171" s="58"/>
      <c r="F171" s="26"/>
      <c r="G171" s="26"/>
      <c r="H171" s="26"/>
      <c r="I171" s="26"/>
      <c r="J171" s="26"/>
      <c r="K171" s="26"/>
      <c r="L171" s="26"/>
      <c r="M171" s="26"/>
    </row>
    <row r="172" spans="1:13">
      <c r="A172" s="97"/>
      <c r="B172" s="42" t="s">
        <v>104</v>
      </c>
      <c r="C172" s="42">
        <v>119</v>
      </c>
      <c r="D172" s="42">
        <v>714</v>
      </c>
      <c r="E172" s="58"/>
      <c r="F172" s="26"/>
      <c r="G172" s="26"/>
      <c r="H172" s="26"/>
      <c r="I172" s="26"/>
      <c r="J172" s="26"/>
      <c r="K172" s="26"/>
      <c r="L172" s="26"/>
      <c r="M172" s="26"/>
    </row>
    <row r="173" spans="1:13">
      <c r="A173" s="97"/>
      <c r="B173" s="42" t="s">
        <v>105</v>
      </c>
      <c r="C173" s="42">
        <v>36</v>
      </c>
      <c r="D173" s="42">
        <v>216</v>
      </c>
      <c r="E173" s="58"/>
      <c r="F173" s="26"/>
      <c r="G173" s="26"/>
      <c r="H173" s="26"/>
      <c r="I173" s="26"/>
      <c r="J173" s="26"/>
      <c r="K173" s="26"/>
      <c r="L173" s="26"/>
      <c r="M173" s="26"/>
    </row>
    <row r="174" spans="1:13">
      <c r="A174" s="97"/>
      <c r="B174" s="42" t="s">
        <v>106</v>
      </c>
      <c r="C174" s="42">
        <v>108</v>
      </c>
      <c r="D174" s="42">
        <v>648</v>
      </c>
      <c r="E174" s="58"/>
      <c r="F174" s="26"/>
      <c r="G174" s="26"/>
      <c r="H174" s="26"/>
      <c r="I174" s="26"/>
      <c r="J174" s="26"/>
      <c r="K174" s="26"/>
      <c r="L174" s="26"/>
      <c r="M174" s="26"/>
    </row>
    <row r="175" spans="1:13">
      <c r="A175" s="97"/>
      <c r="B175" s="42" t="s">
        <v>107</v>
      </c>
      <c r="C175" s="42">
        <v>591</v>
      </c>
      <c r="D175" s="42">
        <v>3546</v>
      </c>
      <c r="E175" s="58"/>
      <c r="F175" s="26"/>
      <c r="G175" s="26"/>
      <c r="H175" s="26"/>
      <c r="I175" s="26"/>
      <c r="J175" s="26"/>
      <c r="K175" s="26"/>
      <c r="L175" s="26"/>
      <c r="M175" s="26"/>
    </row>
    <row r="176" spans="1:13">
      <c r="A176" s="97"/>
      <c r="B176" s="42" t="s">
        <v>108</v>
      </c>
      <c r="C176" s="42">
        <v>2617</v>
      </c>
      <c r="D176" s="42">
        <v>15702</v>
      </c>
      <c r="E176" s="58"/>
      <c r="F176" s="26"/>
      <c r="G176" s="26"/>
      <c r="H176" s="26"/>
      <c r="I176" s="26"/>
      <c r="J176" s="26"/>
      <c r="K176" s="26"/>
      <c r="L176" s="26"/>
      <c r="M176" s="26"/>
    </row>
    <row r="177" spans="1:13">
      <c r="A177" s="97"/>
      <c r="B177" s="42" t="s">
        <v>109</v>
      </c>
      <c r="C177" s="42">
        <v>1929</v>
      </c>
      <c r="D177" s="42">
        <v>11574</v>
      </c>
      <c r="E177" s="58"/>
      <c r="F177" s="26"/>
      <c r="G177" s="26"/>
      <c r="H177" s="26"/>
      <c r="I177" s="26"/>
      <c r="J177" s="26"/>
      <c r="K177" s="26"/>
      <c r="L177" s="26"/>
      <c r="M177" s="26"/>
    </row>
    <row r="178" spans="1:13">
      <c r="A178" s="98"/>
      <c r="B178" s="42" t="s">
        <v>174</v>
      </c>
      <c r="C178" s="42">
        <v>2979</v>
      </c>
      <c r="D178" s="42">
        <v>17874</v>
      </c>
      <c r="E178" s="58"/>
      <c r="F178" s="26"/>
      <c r="G178" s="26"/>
      <c r="H178" s="26"/>
      <c r="I178" s="26"/>
      <c r="J178" s="26"/>
      <c r="K178" s="26"/>
      <c r="L178" s="26"/>
      <c r="M178" s="26"/>
    </row>
    <row r="179" spans="1:13">
      <c r="A179" s="99" t="s">
        <v>18</v>
      </c>
      <c r="B179" s="42" t="s">
        <v>110</v>
      </c>
      <c r="C179" s="42">
        <v>1264</v>
      </c>
      <c r="D179" s="42">
        <v>7584</v>
      </c>
      <c r="E179" s="58"/>
      <c r="F179" s="26"/>
      <c r="G179" s="26"/>
      <c r="H179" s="26"/>
      <c r="I179" s="26"/>
      <c r="J179" s="26"/>
      <c r="K179" s="26"/>
      <c r="L179" s="26"/>
      <c r="M179" s="26"/>
    </row>
    <row r="180" spans="1:13">
      <c r="A180" s="97"/>
      <c r="B180" s="42" t="s">
        <v>111</v>
      </c>
      <c r="C180" s="42">
        <v>533</v>
      </c>
      <c r="D180" s="42">
        <v>3198</v>
      </c>
      <c r="E180" s="58"/>
      <c r="F180" s="26"/>
      <c r="G180" s="26"/>
      <c r="H180" s="26"/>
      <c r="I180" s="26"/>
      <c r="J180" s="26"/>
      <c r="K180" s="26"/>
      <c r="L180" s="26"/>
      <c r="M180" s="26"/>
    </row>
    <row r="181" spans="1:13">
      <c r="A181" s="97"/>
      <c r="B181" s="42" t="s">
        <v>112</v>
      </c>
      <c r="C181" s="42">
        <v>855</v>
      </c>
      <c r="D181" s="42">
        <v>5130</v>
      </c>
      <c r="E181" s="58"/>
      <c r="F181" s="26"/>
      <c r="G181" s="26"/>
      <c r="H181" s="26"/>
      <c r="I181" s="26"/>
      <c r="J181" s="26"/>
      <c r="K181" s="26"/>
      <c r="L181" s="26"/>
      <c r="M181" s="26"/>
    </row>
    <row r="182" spans="1:13">
      <c r="A182" s="97"/>
      <c r="B182" s="42" t="s">
        <v>113</v>
      </c>
      <c r="C182" s="42">
        <v>898</v>
      </c>
      <c r="D182" s="42">
        <v>5388</v>
      </c>
      <c r="E182" s="58"/>
      <c r="F182" s="26"/>
      <c r="G182" s="26"/>
      <c r="H182" s="26"/>
      <c r="I182" s="26"/>
      <c r="J182" s="26"/>
      <c r="K182" s="26"/>
      <c r="L182" s="26"/>
      <c r="M182" s="26"/>
    </row>
    <row r="183" spans="1:13">
      <c r="A183" s="97"/>
      <c r="B183" s="42" t="s">
        <v>114</v>
      </c>
      <c r="C183" s="42">
        <v>2981</v>
      </c>
      <c r="D183" s="42">
        <v>17738</v>
      </c>
      <c r="E183" s="58"/>
      <c r="F183" s="26"/>
      <c r="G183" s="26"/>
      <c r="H183" s="26"/>
      <c r="I183" s="26"/>
      <c r="J183" s="26"/>
      <c r="K183" s="26"/>
      <c r="L183" s="26"/>
      <c r="M183" s="26"/>
    </row>
    <row r="184" spans="1:13">
      <c r="A184" s="97"/>
      <c r="B184" s="42" t="s">
        <v>115</v>
      </c>
      <c r="C184" s="42">
        <v>5</v>
      </c>
      <c r="D184" s="42">
        <v>30</v>
      </c>
      <c r="E184" s="58"/>
      <c r="F184" s="26"/>
      <c r="G184" s="26"/>
      <c r="H184" s="26"/>
      <c r="I184" s="26"/>
      <c r="J184" s="26"/>
      <c r="K184" s="26"/>
      <c r="L184" s="26"/>
      <c r="M184" s="26"/>
    </row>
    <row r="185" spans="1:13">
      <c r="A185" s="97"/>
      <c r="B185" s="42" t="s">
        <v>116</v>
      </c>
      <c r="C185" s="42">
        <v>12</v>
      </c>
      <c r="D185" s="42">
        <v>72</v>
      </c>
      <c r="E185" s="58"/>
      <c r="F185" s="26"/>
      <c r="G185" s="26"/>
      <c r="H185" s="26"/>
      <c r="I185" s="26"/>
      <c r="J185" s="26"/>
      <c r="K185" s="26"/>
      <c r="L185" s="26"/>
      <c r="M185" s="26"/>
    </row>
    <row r="186" spans="1:13">
      <c r="A186" s="97"/>
      <c r="B186" s="42" t="s">
        <v>117</v>
      </c>
      <c r="C186" s="42">
        <v>290</v>
      </c>
      <c r="D186" s="42">
        <v>1740</v>
      </c>
      <c r="E186" s="58"/>
      <c r="F186" s="26"/>
      <c r="G186" s="26"/>
      <c r="H186" s="26"/>
      <c r="I186" s="26"/>
      <c r="J186" s="26"/>
      <c r="K186" s="26"/>
      <c r="L186" s="26"/>
      <c r="M186" s="26"/>
    </row>
    <row r="187" spans="1:13">
      <c r="A187" s="97"/>
      <c r="B187" s="42" t="s">
        <v>118</v>
      </c>
      <c r="C187" s="42">
        <v>63</v>
      </c>
      <c r="D187" s="42">
        <v>378</v>
      </c>
      <c r="E187" s="58"/>
      <c r="F187" s="26"/>
      <c r="G187" s="26"/>
      <c r="H187" s="26"/>
      <c r="I187" s="26"/>
      <c r="J187" s="26"/>
      <c r="K187" s="26"/>
      <c r="L187" s="26"/>
      <c r="M187" s="26"/>
    </row>
    <row r="188" spans="1:13">
      <c r="A188" s="98"/>
      <c r="B188" s="42" t="s">
        <v>119</v>
      </c>
      <c r="C188" s="42">
        <v>15550</v>
      </c>
      <c r="D188" s="42">
        <v>91349</v>
      </c>
      <c r="E188" s="58"/>
      <c r="F188" s="26"/>
      <c r="G188" s="26"/>
      <c r="H188" s="26"/>
      <c r="I188" s="26"/>
      <c r="J188" s="26"/>
      <c r="K188" s="26"/>
      <c r="L188" s="26"/>
      <c r="M188" s="26"/>
    </row>
    <row r="189" spans="1:13">
      <c r="A189" s="97" t="s">
        <v>19</v>
      </c>
      <c r="B189" s="42" t="s">
        <v>120</v>
      </c>
      <c r="C189" s="42">
        <v>93</v>
      </c>
      <c r="D189" s="42">
        <v>558</v>
      </c>
      <c r="E189" s="58"/>
      <c r="F189" s="26"/>
      <c r="G189" s="26"/>
      <c r="H189" s="26"/>
      <c r="I189" s="26"/>
      <c r="J189" s="26"/>
      <c r="K189" s="26"/>
      <c r="L189" s="26"/>
      <c r="M189" s="26"/>
    </row>
    <row r="190" spans="1:13">
      <c r="A190" s="97"/>
      <c r="B190" s="42" t="s">
        <v>121</v>
      </c>
      <c r="C190" s="42">
        <v>3</v>
      </c>
      <c r="D190" s="42">
        <v>18</v>
      </c>
      <c r="E190" s="58"/>
      <c r="F190" s="26"/>
      <c r="G190" s="26"/>
      <c r="H190" s="26"/>
      <c r="I190" s="26"/>
      <c r="J190" s="26"/>
      <c r="K190" s="26"/>
      <c r="L190" s="26"/>
      <c r="M190" s="26"/>
    </row>
    <row r="191" spans="1:13">
      <c r="A191" s="97"/>
      <c r="B191" s="42" t="s">
        <v>122</v>
      </c>
      <c r="C191" s="42">
        <v>219</v>
      </c>
      <c r="D191" s="42">
        <v>1314</v>
      </c>
      <c r="E191" s="58"/>
      <c r="F191" s="26"/>
      <c r="G191" s="26"/>
      <c r="H191" s="26"/>
      <c r="I191" s="26"/>
      <c r="J191" s="26"/>
      <c r="K191" s="26"/>
      <c r="L191" s="26"/>
      <c r="M191" s="26"/>
    </row>
    <row r="192" spans="1:13">
      <c r="A192" s="98"/>
      <c r="B192" s="42" t="s">
        <v>123</v>
      </c>
      <c r="C192" s="42">
        <v>34</v>
      </c>
      <c r="D192" s="42">
        <v>204</v>
      </c>
      <c r="E192" s="58"/>
      <c r="F192" s="26"/>
      <c r="G192" s="26"/>
      <c r="H192" s="26"/>
      <c r="I192" s="26"/>
      <c r="J192" s="26"/>
      <c r="K192" s="26"/>
      <c r="L192" s="26"/>
      <c r="M192" s="26"/>
    </row>
    <row r="193" spans="1:19">
      <c r="A193" s="99" t="s">
        <v>20</v>
      </c>
      <c r="B193" s="42" t="s">
        <v>124</v>
      </c>
      <c r="C193" s="42">
        <v>71</v>
      </c>
      <c r="D193" s="42">
        <v>426</v>
      </c>
      <c r="E193" s="58"/>
      <c r="F193" s="26"/>
      <c r="G193" s="26"/>
      <c r="H193" s="26"/>
      <c r="I193" s="26"/>
      <c r="J193" s="26"/>
      <c r="K193" s="26"/>
      <c r="L193" s="26"/>
      <c r="M193" s="26"/>
    </row>
    <row r="194" spans="1:19">
      <c r="A194" s="97"/>
      <c r="B194" s="42" t="s">
        <v>125</v>
      </c>
      <c r="C194" s="42">
        <v>42</v>
      </c>
      <c r="D194" s="42">
        <v>252</v>
      </c>
      <c r="E194" s="58"/>
      <c r="F194" s="26"/>
      <c r="G194" s="26"/>
      <c r="H194" s="26"/>
      <c r="I194" s="26"/>
      <c r="J194" s="26"/>
      <c r="K194" s="26"/>
      <c r="L194" s="26"/>
      <c r="M194" s="26"/>
    </row>
    <row r="195" spans="1:19">
      <c r="A195" s="97"/>
      <c r="B195" s="42" t="s">
        <v>126</v>
      </c>
      <c r="C195" s="42">
        <v>45</v>
      </c>
      <c r="D195" s="42">
        <v>270</v>
      </c>
      <c r="E195" s="58"/>
      <c r="F195" s="26"/>
      <c r="G195" s="26"/>
      <c r="H195" s="26"/>
      <c r="I195" s="26"/>
      <c r="J195" s="26"/>
      <c r="K195" s="26"/>
      <c r="L195" s="26"/>
      <c r="M195" s="26"/>
    </row>
    <row r="196" spans="1:19">
      <c r="A196" s="97"/>
      <c r="B196" s="42" t="s">
        <v>127</v>
      </c>
      <c r="C196" s="42">
        <v>49</v>
      </c>
      <c r="D196" s="42">
        <v>294</v>
      </c>
      <c r="E196" s="58"/>
      <c r="F196" s="26"/>
      <c r="G196" s="26"/>
      <c r="H196" s="26"/>
      <c r="I196" s="26"/>
      <c r="J196" s="26"/>
      <c r="K196" s="26"/>
      <c r="L196" s="26"/>
      <c r="M196" s="26"/>
    </row>
    <row r="197" spans="1:19">
      <c r="A197" s="97"/>
      <c r="B197" s="42" t="s">
        <v>128</v>
      </c>
      <c r="C197" s="42">
        <v>32</v>
      </c>
      <c r="D197" s="42">
        <v>192</v>
      </c>
      <c r="E197" s="58"/>
      <c r="F197" s="26"/>
      <c r="G197" s="26"/>
      <c r="H197" s="26"/>
      <c r="I197" s="26"/>
      <c r="J197" s="26"/>
      <c r="K197" s="26"/>
      <c r="L197" s="26"/>
      <c r="M197" s="26"/>
    </row>
    <row r="198" spans="1:19">
      <c r="A198" s="98"/>
      <c r="B198" s="42" t="s">
        <v>129</v>
      </c>
      <c r="C198" s="42">
        <v>472</v>
      </c>
      <c r="D198" s="42">
        <v>2832</v>
      </c>
      <c r="E198" s="58"/>
      <c r="F198" s="26"/>
      <c r="G198" s="26"/>
      <c r="H198" s="26"/>
      <c r="I198" s="26"/>
      <c r="J198" s="26"/>
      <c r="K198" s="26"/>
      <c r="L198" s="26"/>
      <c r="M198" s="26"/>
    </row>
    <row r="199" spans="1:19">
      <c r="A199" s="107" t="s">
        <v>135</v>
      </c>
      <c r="B199" s="107"/>
      <c r="C199" s="20">
        <v>195880</v>
      </c>
      <c r="D199" s="20">
        <v>1142014</v>
      </c>
      <c r="E199" s="58"/>
      <c r="F199" s="26"/>
      <c r="G199" s="26"/>
      <c r="H199" s="26"/>
      <c r="I199" s="26"/>
      <c r="J199" s="26"/>
      <c r="K199" s="26"/>
      <c r="L199" s="26"/>
      <c r="M199" s="26"/>
      <c r="S199" s="42"/>
    </row>
  </sheetData>
  <sortState xmlns:xlrd2="http://schemas.microsoft.com/office/spreadsheetml/2017/richdata2" ref="S56:X63">
    <sortCondition descending="1" ref="X56"/>
  </sortState>
  <mergeCells count="23">
    <mergeCell ref="B54:N54"/>
    <mergeCell ref="B8:O8"/>
    <mergeCell ref="A1:B1"/>
    <mergeCell ref="A199:B199"/>
    <mergeCell ref="B31:J31"/>
    <mergeCell ref="A102:A105"/>
    <mergeCell ref="A106:A115"/>
    <mergeCell ref="A116:A122"/>
    <mergeCell ref="A123:A126"/>
    <mergeCell ref="A127:A132"/>
    <mergeCell ref="A133:A138"/>
    <mergeCell ref="A139:A141"/>
    <mergeCell ref="A142:A145"/>
    <mergeCell ref="A146:A151"/>
    <mergeCell ref="A152:A154"/>
    <mergeCell ref="A95:A101"/>
    <mergeCell ref="A189:A192"/>
    <mergeCell ref="A193:A198"/>
    <mergeCell ref="A155:A157"/>
    <mergeCell ref="A158:A166"/>
    <mergeCell ref="A167:A170"/>
    <mergeCell ref="A171:A178"/>
    <mergeCell ref="A179:A188"/>
  </mergeCells>
  <conditionalFormatting sqref="C95:C19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C96:C19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78:D9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D95:D19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conditionalFormatting sqref="D96:D19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O56:O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C95:C199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C96:C199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D78:D90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D95:D199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D96:D199</xm:sqref>
        </x14:conditionalFormatting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O56:O73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C724-390C-4C1F-BDD4-FB1979A24C52}">
  <dimension ref="A1:I107"/>
  <sheetViews>
    <sheetView tabSelected="1" workbookViewId="0">
      <selection activeCell="E13" sqref="E13"/>
    </sheetView>
  </sheetViews>
  <sheetFormatPr defaultRowHeight="15"/>
  <cols>
    <col min="1" max="1" width="20.28515625" bestFit="1" customWidth="1"/>
    <col min="2" max="2" width="20.28515625" customWidth="1"/>
    <col min="3" max="3" width="16.42578125" bestFit="1" customWidth="1"/>
    <col min="4" max="4" width="16.42578125" customWidth="1"/>
    <col min="5" max="5" width="20.140625" customWidth="1"/>
    <col min="6" max="6" width="19.42578125" customWidth="1"/>
    <col min="7" max="9" width="27.7109375" customWidth="1"/>
  </cols>
  <sheetData>
    <row r="1" spans="1:9" ht="42.75" customHeight="1">
      <c r="A1" s="108" t="s">
        <v>196</v>
      </c>
      <c r="B1" s="108"/>
      <c r="C1" s="108"/>
      <c r="D1" s="108"/>
    </row>
    <row r="2" spans="1:9">
      <c r="A2" s="112" t="s">
        <v>0</v>
      </c>
      <c r="B2" s="113" t="s">
        <v>203</v>
      </c>
      <c r="C2" s="113" t="s">
        <v>1</v>
      </c>
      <c r="D2" s="113" t="s">
        <v>204</v>
      </c>
      <c r="E2" s="113" t="s">
        <v>198</v>
      </c>
      <c r="F2" s="113" t="s">
        <v>199</v>
      </c>
      <c r="G2" s="113" t="s">
        <v>200</v>
      </c>
      <c r="H2" s="113" t="s">
        <v>201</v>
      </c>
      <c r="I2" s="114" t="s">
        <v>202</v>
      </c>
    </row>
    <row r="3" spans="1:9">
      <c r="A3" s="115" t="s">
        <v>322</v>
      </c>
      <c r="B3" s="115" t="s">
        <v>323</v>
      </c>
      <c r="C3" s="115" t="s">
        <v>324</v>
      </c>
      <c r="D3" s="115" t="s">
        <v>325</v>
      </c>
      <c r="E3" s="115" t="s">
        <v>326</v>
      </c>
      <c r="F3" s="115" t="s">
        <v>327</v>
      </c>
      <c r="G3" s="116"/>
      <c r="H3" s="117"/>
      <c r="I3" s="118"/>
    </row>
    <row r="4" spans="1:9">
      <c r="A4" s="119" t="s">
        <v>3</v>
      </c>
      <c r="B4" s="120" t="s">
        <v>205</v>
      </c>
      <c r="C4" s="120" t="s">
        <v>181</v>
      </c>
      <c r="D4" s="120" t="s">
        <v>206</v>
      </c>
      <c r="E4" s="120">
        <v>420</v>
      </c>
      <c r="F4" s="120">
        <v>2520</v>
      </c>
      <c r="G4" s="121">
        <v>0</v>
      </c>
      <c r="H4" s="121">
        <v>0</v>
      </c>
      <c r="I4" s="122">
        <v>0</v>
      </c>
    </row>
    <row r="5" spans="1:9">
      <c r="A5" s="123" t="s">
        <v>3</v>
      </c>
      <c r="B5" s="117" t="s">
        <v>205</v>
      </c>
      <c r="C5" s="117" t="s">
        <v>34</v>
      </c>
      <c r="D5" s="117" t="s">
        <v>207</v>
      </c>
      <c r="E5" s="117">
        <v>441</v>
      </c>
      <c r="F5" s="117">
        <v>2646</v>
      </c>
      <c r="G5" s="117">
        <v>0</v>
      </c>
      <c r="H5" s="117">
        <v>30</v>
      </c>
      <c r="I5" s="118">
        <v>0</v>
      </c>
    </row>
    <row r="6" spans="1:9">
      <c r="A6" s="124" t="s">
        <v>3</v>
      </c>
      <c r="B6" s="121" t="s">
        <v>205</v>
      </c>
      <c r="C6" s="121" t="s">
        <v>35</v>
      </c>
      <c r="D6" s="121" t="s">
        <v>208</v>
      </c>
      <c r="E6" s="121">
        <v>324</v>
      </c>
      <c r="F6" s="121">
        <v>1944</v>
      </c>
      <c r="G6" s="121">
        <v>0</v>
      </c>
      <c r="H6" s="121">
        <v>0</v>
      </c>
      <c r="I6" s="122">
        <v>0</v>
      </c>
    </row>
    <row r="7" spans="1:9">
      <c r="A7" s="123" t="s">
        <v>3</v>
      </c>
      <c r="B7" s="117" t="s">
        <v>205</v>
      </c>
      <c r="C7" s="117" t="s">
        <v>36</v>
      </c>
      <c r="D7" s="117" t="s">
        <v>209</v>
      </c>
      <c r="E7" s="117">
        <v>2972</v>
      </c>
      <c r="F7" s="117">
        <v>17832</v>
      </c>
      <c r="G7" s="117">
        <v>0</v>
      </c>
      <c r="H7" s="117">
        <v>294</v>
      </c>
      <c r="I7" s="118">
        <v>0</v>
      </c>
    </row>
    <row r="8" spans="1:9">
      <c r="A8" s="124" t="s">
        <v>3</v>
      </c>
      <c r="B8" s="121" t="s">
        <v>205</v>
      </c>
      <c r="C8" s="121" t="s">
        <v>37</v>
      </c>
      <c r="D8" s="121" t="s">
        <v>210</v>
      </c>
      <c r="E8" s="121">
        <v>181</v>
      </c>
      <c r="F8" s="121">
        <v>1086</v>
      </c>
      <c r="G8" s="121">
        <v>0</v>
      </c>
      <c r="H8" s="121">
        <v>0</v>
      </c>
      <c r="I8" s="122">
        <v>0</v>
      </c>
    </row>
    <row r="9" spans="1:9">
      <c r="A9" s="123" t="s">
        <v>3</v>
      </c>
      <c r="B9" s="117" t="s">
        <v>205</v>
      </c>
      <c r="C9" s="117" t="s">
        <v>38</v>
      </c>
      <c r="D9" s="117" t="s">
        <v>211</v>
      </c>
      <c r="E9" s="117">
        <v>233</v>
      </c>
      <c r="F9" s="117">
        <v>1398</v>
      </c>
      <c r="G9" s="117">
        <v>0</v>
      </c>
      <c r="H9" s="117">
        <v>0</v>
      </c>
      <c r="I9" s="118">
        <v>0</v>
      </c>
    </row>
    <row r="10" spans="1:9">
      <c r="A10" s="124" t="s">
        <v>3</v>
      </c>
      <c r="B10" s="121" t="s">
        <v>205</v>
      </c>
      <c r="C10" s="121" t="s">
        <v>39</v>
      </c>
      <c r="D10" s="121" t="s">
        <v>212</v>
      </c>
      <c r="E10" s="121">
        <v>1257</v>
      </c>
      <c r="F10" s="121">
        <v>7542</v>
      </c>
      <c r="G10" s="121">
        <v>0</v>
      </c>
      <c r="H10" s="121">
        <v>0</v>
      </c>
      <c r="I10" s="122">
        <v>0</v>
      </c>
    </row>
    <row r="11" spans="1:9">
      <c r="A11" s="123" t="s">
        <v>4</v>
      </c>
      <c r="B11" s="117" t="s">
        <v>213</v>
      </c>
      <c r="C11" s="117" t="s">
        <v>40</v>
      </c>
      <c r="D11" s="117" t="s">
        <v>214</v>
      </c>
      <c r="E11" s="117">
        <v>34</v>
      </c>
      <c r="F11" s="117">
        <v>204</v>
      </c>
      <c r="G11" s="117">
        <v>0</v>
      </c>
      <c r="H11" s="117">
        <v>0</v>
      </c>
      <c r="I11" s="118">
        <v>0</v>
      </c>
    </row>
    <row r="12" spans="1:9">
      <c r="A12" s="124" t="s">
        <v>4</v>
      </c>
      <c r="B12" s="121" t="s">
        <v>213</v>
      </c>
      <c r="C12" s="121" t="s">
        <v>41</v>
      </c>
      <c r="D12" s="121" t="s">
        <v>215</v>
      </c>
      <c r="E12" s="121">
        <v>2583</v>
      </c>
      <c r="F12" s="121">
        <v>15498</v>
      </c>
      <c r="G12" s="121">
        <v>0</v>
      </c>
      <c r="H12" s="121">
        <v>72</v>
      </c>
      <c r="I12" s="122">
        <v>0</v>
      </c>
    </row>
    <row r="13" spans="1:9">
      <c r="A13" s="123" t="s">
        <v>4</v>
      </c>
      <c r="B13" s="117" t="s">
        <v>213</v>
      </c>
      <c r="C13" s="117" t="s">
        <v>42</v>
      </c>
      <c r="D13" s="117" t="s">
        <v>216</v>
      </c>
      <c r="E13" s="117">
        <v>6</v>
      </c>
      <c r="F13" s="117">
        <v>36</v>
      </c>
      <c r="G13" s="117">
        <v>0</v>
      </c>
      <c r="H13" s="117">
        <v>0</v>
      </c>
      <c r="I13" s="118">
        <v>0</v>
      </c>
    </row>
    <row r="14" spans="1:9">
      <c r="A14" s="124" t="s">
        <v>4</v>
      </c>
      <c r="B14" s="121" t="s">
        <v>213</v>
      </c>
      <c r="C14" s="121" t="s">
        <v>43</v>
      </c>
      <c r="D14" s="121" t="s">
        <v>217</v>
      </c>
      <c r="E14" s="121">
        <v>85</v>
      </c>
      <c r="F14" s="121">
        <v>510</v>
      </c>
      <c r="G14" s="121">
        <v>0</v>
      </c>
      <c r="H14" s="121">
        <v>0</v>
      </c>
      <c r="I14" s="122">
        <v>0</v>
      </c>
    </row>
    <row r="15" spans="1:9">
      <c r="A15" s="123" t="s">
        <v>5</v>
      </c>
      <c r="B15" s="117" t="s">
        <v>218</v>
      </c>
      <c r="C15" s="117" t="s">
        <v>44</v>
      </c>
      <c r="D15" s="117" t="s">
        <v>219</v>
      </c>
      <c r="E15" s="117">
        <v>865</v>
      </c>
      <c r="F15" s="117">
        <v>5190</v>
      </c>
      <c r="G15" s="117">
        <v>0</v>
      </c>
      <c r="H15" s="117">
        <v>48</v>
      </c>
      <c r="I15" s="118">
        <v>0</v>
      </c>
    </row>
    <row r="16" spans="1:9">
      <c r="A16" s="124" t="s">
        <v>5</v>
      </c>
      <c r="B16" s="121" t="s">
        <v>218</v>
      </c>
      <c r="C16" s="121" t="s">
        <v>45</v>
      </c>
      <c r="D16" s="121" t="s">
        <v>220</v>
      </c>
      <c r="E16" s="121">
        <v>323</v>
      </c>
      <c r="F16" s="121">
        <v>1938</v>
      </c>
      <c r="G16" s="121">
        <v>0</v>
      </c>
      <c r="H16" s="121">
        <v>150</v>
      </c>
      <c r="I16" s="122">
        <v>0</v>
      </c>
    </row>
    <row r="17" spans="1:9">
      <c r="A17" s="123" t="s">
        <v>5</v>
      </c>
      <c r="B17" s="117" t="s">
        <v>218</v>
      </c>
      <c r="C17" s="117" t="s">
        <v>46</v>
      </c>
      <c r="D17" s="117" t="s">
        <v>221</v>
      </c>
      <c r="E17" s="117">
        <v>351</v>
      </c>
      <c r="F17" s="117">
        <v>2106</v>
      </c>
      <c r="G17" s="117">
        <v>0</v>
      </c>
      <c r="H17" s="117">
        <v>174</v>
      </c>
      <c r="I17" s="118">
        <v>0</v>
      </c>
    </row>
    <row r="18" spans="1:9">
      <c r="A18" s="124" t="s">
        <v>5</v>
      </c>
      <c r="B18" s="121" t="s">
        <v>218</v>
      </c>
      <c r="C18" s="121" t="s">
        <v>47</v>
      </c>
      <c r="D18" s="121" t="s">
        <v>222</v>
      </c>
      <c r="E18" s="121">
        <v>199</v>
      </c>
      <c r="F18" s="121">
        <v>1194</v>
      </c>
      <c r="G18" s="121">
        <v>0</v>
      </c>
      <c r="H18" s="121">
        <v>0</v>
      </c>
      <c r="I18" s="122">
        <v>0</v>
      </c>
    </row>
    <row r="19" spans="1:9">
      <c r="A19" s="123" t="s">
        <v>5</v>
      </c>
      <c r="B19" s="117" t="s">
        <v>218</v>
      </c>
      <c r="C19" s="117" t="s">
        <v>48</v>
      </c>
      <c r="D19" s="117" t="s">
        <v>223</v>
      </c>
      <c r="E19" s="117">
        <v>758</v>
      </c>
      <c r="F19" s="117">
        <v>4548</v>
      </c>
      <c r="G19" s="117">
        <v>0</v>
      </c>
      <c r="H19" s="117">
        <v>36</v>
      </c>
      <c r="I19" s="118">
        <v>0</v>
      </c>
    </row>
    <row r="20" spans="1:9">
      <c r="A20" s="124" t="s">
        <v>5</v>
      </c>
      <c r="B20" s="121" t="s">
        <v>218</v>
      </c>
      <c r="C20" s="121" t="s">
        <v>49</v>
      </c>
      <c r="D20" s="121" t="s">
        <v>224</v>
      </c>
      <c r="E20" s="121">
        <v>119</v>
      </c>
      <c r="F20" s="121">
        <v>714</v>
      </c>
      <c r="G20" s="121">
        <v>0</v>
      </c>
      <c r="H20" s="121">
        <v>0</v>
      </c>
      <c r="I20" s="122">
        <v>0</v>
      </c>
    </row>
    <row r="21" spans="1:9">
      <c r="A21" s="123" t="s">
        <v>5</v>
      </c>
      <c r="B21" s="117" t="s">
        <v>218</v>
      </c>
      <c r="C21" s="117" t="s">
        <v>50</v>
      </c>
      <c r="D21" s="117" t="s">
        <v>225</v>
      </c>
      <c r="E21" s="117">
        <v>1445</v>
      </c>
      <c r="F21" s="117">
        <v>8670</v>
      </c>
      <c r="G21" s="117">
        <v>0</v>
      </c>
      <c r="H21" s="117">
        <v>150</v>
      </c>
      <c r="I21" s="118">
        <v>0</v>
      </c>
    </row>
    <row r="22" spans="1:9">
      <c r="A22" s="124" t="s">
        <v>5</v>
      </c>
      <c r="B22" s="121" t="s">
        <v>218</v>
      </c>
      <c r="C22" s="121" t="s">
        <v>51</v>
      </c>
      <c r="D22" s="121" t="s">
        <v>226</v>
      </c>
      <c r="E22" s="121">
        <v>353</v>
      </c>
      <c r="F22" s="121">
        <v>2118</v>
      </c>
      <c r="G22" s="121">
        <v>0</v>
      </c>
      <c r="H22" s="121">
        <v>0</v>
      </c>
      <c r="I22" s="122">
        <v>0</v>
      </c>
    </row>
    <row r="23" spans="1:9">
      <c r="A23" s="123" t="s">
        <v>5</v>
      </c>
      <c r="B23" s="117" t="s">
        <v>218</v>
      </c>
      <c r="C23" s="117" t="s">
        <v>52</v>
      </c>
      <c r="D23" s="117" t="s">
        <v>227</v>
      </c>
      <c r="E23" s="117">
        <v>1</v>
      </c>
      <c r="F23" s="117">
        <v>6</v>
      </c>
      <c r="G23" s="117">
        <v>0</v>
      </c>
      <c r="H23" s="117">
        <v>0</v>
      </c>
      <c r="I23" s="118">
        <v>0</v>
      </c>
    </row>
    <row r="24" spans="1:9">
      <c r="A24" s="124" t="s">
        <v>5</v>
      </c>
      <c r="B24" s="121" t="s">
        <v>218</v>
      </c>
      <c r="C24" s="121" t="s">
        <v>53</v>
      </c>
      <c r="D24" s="121" t="s">
        <v>228</v>
      </c>
      <c r="E24" s="121">
        <v>25</v>
      </c>
      <c r="F24" s="121">
        <v>150</v>
      </c>
      <c r="G24" s="121">
        <v>0</v>
      </c>
      <c r="H24" s="121">
        <v>6</v>
      </c>
      <c r="I24" s="122">
        <v>0</v>
      </c>
    </row>
    <row r="25" spans="1:9">
      <c r="A25" s="123" t="s">
        <v>6</v>
      </c>
      <c r="B25" s="117" t="s">
        <v>229</v>
      </c>
      <c r="C25" s="117" t="s">
        <v>54</v>
      </c>
      <c r="D25" s="117" t="s">
        <v>230</v>
      </c>
      <c r="E25" s="117">
        <v>169</v>
      </c>
      <c r="F25" s="117">
        <v>1014</v>
      </c>
      <c r="G25" s="117">
        <v>0</v>
      </c>
      <c r="H25" s="117">
        <v>0</v>
      </c>
      <c r="I25" s="118">
        <v>0</v>
      </c>
    </row>
    <row r="26" spans="1:9">
      <c r="A26" s="124" t="s">
        <v>6</v>
      </c>
      <c r="B26" s="121" t="s">
        <v>229</v>
      </c>
      <c r="C26" s="121" t="s">
        <v>55</v>
      </c>
      <c r="D26" s="121" t="s">
        <v>231</v>
      </c>
      <c r="E26" s="121">
        <v>26</v>
      </c>
      <c r="F26" s="121">
        <v>156</v>
      </c>
      <c r="G26" s="121">
        <v>0</v>
      </c>
      <c r="H26" s="121">
        <v>0</v>
      </c>
      <c r="I26" s="122">
        <v>0</v>
      </c>
    </row>
    <row r="27" spans="1:9">
      <c r="A27" s="123" t="s">
        <v>6</v>
      </c>
      <c r="B27" s="117" t="s">
        <v>229</v>
      </c>
      <c r="C27" s="117" t="s">
        <v>56</v>
      </c>
      <c r="D27" s="117" t="s">
        <v>232</v>
      </c>
      <c r="E27" s="117">
        <v>41</v>
      </c>
      <c r="F27" s="117">
        <v>246</v>
      </c>
      <c r="G27" s="117">
        <v>0</v>
      </c>
      <c r="H27" s="117">
        <v>0</v>
      </c>
      <c r="I27" s="118">
        <v>0</v>
      </c>
    </row>
    <row r="28" spans="1:9">
      <c r="A28" s="124" t="s">
        <v>6</v>
      </c>
      <c r="B28" s="121" t="s">
        <v>229</v>
      </c>
      <c r="C28" s="121" t="s">
        <v>57</v>
      </c>
      <c r="D28" s="121" t="s">
        <v>233</v>
      </c>
      <c r="E28" s="121">
        <v>190</v>
      </c>
      <c r="F28" s="121">
        <v>1140</v>
      </c>
      <c r="G28" s="121">
        <v>0</v>
      </c>
      <c r="H28" s="121">
        <v>0</v>
      </c>
      <c r="I28" s="122">
        <v>0</v>
      </c>
    </row>
    <row r="29" spans="1:9">
      <c r="A29" s="123" t="s">
        <v>6</v>
      </c>
      <c r="B29" s="117" t="s">
        <v>229</v>
      </c>
      <c r="C29" s="117" t="s">
        <v>6</v>
      </c>
      <c r="D29" s="117" t="s">
        <v>234</v>
      </c>
      <c r="E29" s="117">
        <v>312</v>
      </c>
      <c r="F29" s="117">
        <v>1872</v>
      </c>
      <c r="G29" s="117">
        <v>0</v>
      </c>
      <c r="H29" s="117">
        <v>48</v>
      </c>
      <c r="I29" s="118">
        <v>0</v>
      </c>
    </row>
    <row r="30" spans="1:9">
      <c r="A30" s="124" t="s">
        <v>6</v>
      </c>
      <c r="B30" s="121" t="s">
        <v>229</v>
      </c>
      <c r="C30" s="121" t="s">
        <v>58</v>
      </c>
      <c r="D30" s="121" t="s">
        <v>235</v>
      </c>
      <c r="E30" s="121">
        <v>8</v>
      </c>
      <c r="F30" s="121">
        <v>48</v>
      </c>
      <c r="G30" s="121">
        <v>0</v>
      </c>
      <c r="H30" s="121">
        <v>0</v>
      </c>
      <c r="I30" s="122">
        <v>0</v>
      </c>
    </row>
    <row r="31" spans="1:9">
      <c r="A31" s="123" t="s">
        <v>6</v>
      </c>
      <c r="B31" s="117" t="s">
        <v>229</v>
      </c>
      <c r="C31" s="117" t="s">
        <v>59</v>
      </c>
      <c r="D31" s="117" t="s">
        <v>236</v>
      </c>
      <c r="E31" s="117">
        <v>63</v>
      </c>
      <c r="F31" s="117">
        <v>378</v>
      </c>
      <c r="G31" s="117">
        <v>0</v>
      </c>
      <c r="H31" s="117">
        <v>6</v>
      </c>
      <c r="I31" s="118">
        <v>0</v>
      </c>
    </row>
    <row r="32" spans="1:9">
      <c r="A32" s="124" t="s">
        <v>7</v>
      </c>
      <c r="B32" s="121" t="s">
        <v>237</v>
      </c>
      <c r="C32" s="121" t="s">
        <v>60</v>
      </c>
      <c r="D32" s="121" t="s">
        <v>238</v>
      </c>
      <c r="E32" s="121">
        <v>768</v>
      </c>
      <c r="F32" s="121">
        <v>4214</v>
      </c>
      <c r="G32" s="121">
        <v>0</v>
      </c>
      <c r="H32" s="121">
        <v>28</v>
      </c>
      <c r="I32" s="122">
        <v>0</v>
      </c>
    </row>
    <row r="33" spans="1:9">
      <c r="A33" s="123" t="s">
        <v>7</v>
      </c>
      <c r="B33" s="117" t="s">
        <v>237</v>
      </c>
      <c r="C33" s="117" t="s">
        <v>7</v>
      </c>
      <c r="D33" s="117" t="s">
        <v>239</v>
      </c>
      <c r="E33" s="117">
        <v>4172</v>
      </c>
      <c r="F33" s="117">
        <v>25032</v>
      </c>
      <c r="G33" s="117">
        <v>0</v>
      </c>
      <c r="H33" s="117">
        <v>180</v>
      </c>
      <c r="I33" s="118">
        <v>0</v>
      </c>
    </row>
    <row r="34" spans="1:9">
      <c r="A34" s="124" t="s">
        <v>7</v>
      </c>
      <c r="B34" s="121" t="s">
        <v>237</v>
      </c>
      <c r="C34" s="121" t="s">
        <v>62</v>
      </c>
      <c r="D34" s="121" t="s">
        <v>240</v>
      </c>
      <c r="E34" s="121">
        <v>24824</v>
      </c>
      <c r="F34" s="121">
        <v>135042</v>
      </c>
      <c r="G34" s="121">
        <v>0</v>
      </c>
      <c r="H34" s="121">
        <v>359</v>
      </c>
      <c r="I34" s="122">
        <v>25</v>
      </c>
    </row>
    <row r="35" spans="1:9">
      <c r="A35" s="123" t="s">
        <v>7</v>
      </c>
      <c r="B35" s="117" t="s">
        <v>237</v>
      </c>
      <c r="C35" s="117" t="s">
        <v>63</v>
      </c>
      <c r="D35" s="117" t="s">
        <v>241</v>
      </c>
      <c r="E35" s="117">
        <v>13820</v>
      </c>
      <c r="F35" s="117">
        <v>76012</v>
      </c>
      <c r="G35" s="117">
        <v>0</v>
      </c>
      <c r="H35" s="117">
        <v>363</v>
      </c>
      <c r="I35" s="118">
        <v>93</v>
      </c>
    </row>
    <row r="36" spans="1:9">
      <c r="A36" s="124" t="s">
        <v>8</v>
      </c>
      <c r="B36" s="121" t="s">
        <v>242</v>
      </c>
      <c r="C36" s="121" t="s">
        <v>64</v>
      </c>
      <c r="D36" s="121" t="s">
        <v>243</v>
      </c>
      <c r="E36" s="121">
        <v>688</v>
      </c>
      <c r="F36" s="121">
        <v>4128</v>
      </c>
      <c r="G36" s="121">
        <v>0</v>
      </c>
      <c r="H36" s="121">
        <v>0</v>
      </c>
      <c r="I36" s="122">
        <v>0</v>
      </c>
    </row>
    <row r="37" spans="1:9">
      <c r="A37" s="123" t="s">
        <v>8</v>
      </c>
      <c r="B37" s="117" t="s">
        <v>242</v>
      </c>
      <c r="C37" s="117" t="s">
        <v>65</v>
      </c>
      <c r="D37" s="117" t="s">
        <v>244</v>
      </c>
      <c r="E37" s="117">
        <v>75</v>
      </c>
      <c r="F37" s="117">
        <v>450</v>
      </c>
      <c r="G37" s="117">
        <v>0</v>
      </c>
      <c r="H37" s="117">
        <v>0</v>
      </c>
      <c r="I37" s="118">
        <v>0</v>
      </c>
    </row>
    <row r="38" spans="1:9">
      <c r="A38" s="124" t="s">
        <v>8</v>
      </c>
      <c r="B38" s="121" t="s">
        <v>242</v>
      </c>
      <c r="C38" s="121" t="s">
        <v>67</v>
      </c>
      <c r="D38" s="121" t="s">
        <v>245</v>
      </c>
      <c r="E38" s="121">
        <v>78</v>
      </c>
      <c r="F38" s="121">
        <v>468</v>
      </c>
      <c r="G38" s="121">
        <v>0</v>
      </c>
      <c r="H38" s="121">
        <v>0</v>
      </c>
      <c r="I38" s="122">
        <v>0</v>
      </c>
    </row>
    <row r="39" spans="1:9">
      <c r="A39" s="123" t="s">
        <v>8</v>
      </c>
      <c r="B39" s="117" t="s">
        <v>242</v>
      </c>
      <c r="C39" s="117" t="s">
        <v>66</v>
      </c>
      <c r="D39" s="117" t="s">
        <v>245</v>
      </c>
      <c r="E39" s="117">
        <v>3286</v>
      </c>
      <c r="F39" s="117">
        <v>19716</v>
      </c>
      <c r="G39" s="117">
        <v>0</v>
      </c>
      <c r="H39" s="117">
        <v>0</v>
      </c>
      <c r="I39" s="118">
        <v>0</v>
      </c>
    </row>
    <row r="40" spans="1:9">
      <c r="A40" s="124" t="s">
        <v>8</v>
      </c>
      <c r="B40" s="121" t="s">
        <v>242</v>
      </c>
      <c r="C40" s="121" t="s">
        <v>68</v>
      </c>
      <c r="D40" s="121" t="s">
        <v>246</v>
      </c>
      <c r="E40" s="121">
        <v>2174</v>
      </c>
      <c r="F40" s="121">
        <v>12978</v>
      </c>
      <c r="G40" s="121">
        <v>0</v>
      </c>
      <c r="H40" s="121">
        <v>11</v>
      </c>
      <c r="I40" s="122">
        <v>0</v>
      </c>
    </row>
    <row r="41" spans="1:9">
      <c r="A41" s="123" t="s">
        <v>8</v>
      </c>
      <c r="B41" s="117" t="s">
        <v>242</v>
      </c>
      <c r="C41" s="117" t="s">
        <v>69</v>
      </c>
      <c r="D41" s="117" t="s">
        <v>247</v>
      </c>
      <c r="E41" s="117">
        <v>1059</v>
      </c>
      <c r="F41" s="117">
        <v>6354</v>
      </c>
      <c r="G41" s="117">
        <v>0</v>
      </c>
      <c r="H41" s="117">
        <v>36</v>
      </c>
      <c r="I41" s="118">
        <v>0</v>
      </c>
    </row>
    <row r="42" spans="1:9">
      <c r="A42" s="124" t="s">
        <v>9</v>
      </c>
      <c r="B42" s="121" t="s">
        <v>248</v>
      </c>
      <c r="C42" s="121" t="s">
        <v>9</v>
      </c>
      <c r="D42" s="121" t="s">
        <v>249</v>
      </c>
      <c r="E42" s="121">
        <v>35824</v>
      </c>
      <c r="F42" s="121">
        <v>213771</v>
      </c>
      <c r="G42" s="121">
        <v>0</v>
      </c>
      <c r="H42" s="121">
        <v>276</v>
      </c>
      <c r="I42" s="122">
        <v>0</v>
      </c>
    </row>
    <row r="43" spans="1:9">
      <c r="A43" s="123" t="s">
        <v>9</v>
      </c>
      <c r="B43" s="117" t="s">
        <v>248</v>
      </c>
      <c r="C43" s="117" t="s">
        <v>70</v>
      </c>
      <c r="D43" s="117" t="s">
        <v>250</v>
      </c>
      <c r="E43" s="117">
        <v>313</v>
      </c>
      <c r="F43" s="117">
        <v>1878</v>
      </c>
      <c r="G43" s="117">
        <v>0</v>
      </c>
      <c r="H43" s="117">
        <v>0</v>
      </c>
      <c r="I43" s="118">
        <v>0</v>
      </c>
    </row>
    <row r="44" spans="1:9">
      <c r="A44" s="124" t="s">
        <v>9</v>
      </c>
      <c r="B44" s="121" t="s">
        <v>248</v>
      </c>
      <c r="C44" s="121" t="s">
        <v>71</v>
      </c>
      <c r="D44" s="121" t="s">
        <v>251</v>
      </c>
      <c r="E44" s="121">
        <v>1327</v>
      </c>
      <c r="F44" s="121">
        <v>6635</v>
      </c>
      <c r="G44" s="121">
        <v>0</v>
      </c>
      <c r="H44" s="121">
        <v>0</v>
      </c>
      <c r="I44" s="122">
        <v>0</v>
      </c>
    </row>
    <row r="45" spans="1:9">
      <c r="A45" s="123" t="s">
        <v>9</v>
      </c>
      <c r="B45" s="117" t="s">
        <v>248</v>
      </c>
      <c r="C45" s="117" t="s">
        <v>72</v>
      </c>
      <c r="D45" s="117" t="s">
        <v>252</v>
      </c>
      <c r="E45" s="117">
        <v>31</v>
      </c>
      <c r="F45" s="117">
        <v>186</v>
      </c>
      <c r="G45" s="117">
        <v>0</v>
      </c>
      <c r="H45" s="117">
        <v>0</v>
      </c>
      <c r="I45" s="118">
        <v>0</v>
      </c>
    </row>
    <row r="46" spans="1:9">
      <c r="A46" s="124" t="s">
        <v>9</v>
      </c>
      <c r="B46" s="121" t="s">
        <v>248</v>
      </c>
      <c r="C46" s="121" t="s">
        <v>73</v>
      </c>
      <c r="D46" s="121" t="s">
        <v>253</v>
      </c>
      <c r="E46" s="121">
        <v>807</v>
      </c>
      <c r="F46" s="121">
        <v>4842</v>
      </c>
      <c r="G46" s="121">
        <v>0</v>
      </c>
      <c r="H46" s="121">
        <v>108</v>
      </c>
      <c r="I46" s="122">
        <v>0</v>
      </c>
    </row>
    <row r="47" spans="1:9">
      <c r="A47" s="123" t="s">
        <v>9</v>
      </c>
      <c r="B47" s="117" t="s">
        <v>248</v>
      </c>
      <c r="C47" s="117" t="s">
        <v>74</v>
      </c>
      <c r="D47" s="117" t="s">
        <v>254</v>
      </c>
      <c r="E47" s="117">
        <v>267</v>
      </c>
      <c r="F47" s="117">
        <v>1602</v>
      </c>
      <c r="G47" s="117">
        <v>0</v>
      </c>
      <c r="H47" s="117">
        <v>0</v>
      </c>
      <c r="I47" s="118">
        <v>0</v>
      </c>
    </row>
    <row r="48" spans="1:9">
      <c r="A48" s="124" t="s">
        <v>10</v>
      </c>
      <c r="B48" s="121" t="s">
        <v>255</v>
      </c>
      <c r="C48" s="121" t="s">
        <v>75</v>
      </c>
      <c r="D48" s="121" t="s">
        <v>256</v>
      </c>
      <c r="E48" s="121">
        <v>23</v>
      </c>
      <c r="F48" s="121">
        <v>138</v>
      </c>
      <c r="G48" s="121">
        <v>0</v>
      </c>
      <c r="H48" s="121">
        <v>0</v>
      </c>
      <c r="I48" s="122">
        <v>0</v>
      </c>
    </row>
    <row r="49" spans="1:9">
      <c r="A49" s="123" t="s">
        <v>10</v>
      </c>
      <c r="B49" s="117" t="s">
        <v>255</v>
      </c>
      <c r="C49" s="117" t="s">
        <v>76</v>
      </c>
      <c r="D49" s="117" t="s">
        <v>257</v>
      </c>
      <c r="E49" s="117">
        <v>147</v>
      </c>
      <c r="F49" s="117">
        <v>882</v>
      </c>
      <c r="G49" s="117">
        <v>0</v>
      </c>
      <c r="H49" s="117">
        <v>0</v>
      </c>
      <c r="I49" s="118">
        <v>0</v>
      </c>
    </row>
    <row r="50" spans="1:9">
      <c r="A50" s="124" t="s">
        <v>10</v>
      </c>
      <c r="B50" s="121" t="s">
        <v>255</v>
      </c>
      <c r="C50" s="121" t="s">
        <v>10</v>
      </c>
      <c r="D50" s="121" t="s">
        <v>258</v>
      </c>
      <c r="E50" s="121">
        <v>1535</v>
      </c>
      <c r="F50" s="121">
        <v>9210</v>
      </c>
      <c r="G50" s="121">
        <v>0</v>
      </c>
      <c r="H50" s="121">
        <v>0</v>
      </c>
      <c r="I50" s="122">
        <v>0</v>
      </c>
    </row>
    <row r="51" spans="1:9">
      <c r="A51" s="123" t="s">
        <v>11</v>
      </c>
      <c r="B51" s="117" t="s">
        <v>259</v>
      </c>
      <c r="C51" s="117" t="s">
        <v>77</v>
      </c>
      <c r="D51" s="117" t="s">
        <v>260</v>
      </c>
      <c r="E51" s="117">
        <v>198</v>
      </c>
      <c r="F51" s="117">
        <v>1188</v>
      </c>
      <c r="G51" s="117">
        <v>0</v>
      </c>
      <c r="H51" s="117">
        <v>0</v>
      </c>
      <c r="I51" s="118">
        <v>36</v>
      </c>
    </row>
    <row r="52" spans="1:9">
      <c r="A52" s="124" t="s">
        <v>11</v>
      </c>
      <c r="B52" s="121" t="s">
        <v>259</v>
      </c>
      <c r="C52" s="121" t="s">
        <v>78</v>
      </c>
      <c r="D52" s="121" t="s">
        <v>261</v>
      </c>
      <c r="E52" s="121">
        <v>240</v>
      </c>
      <c r="F52" s="121">
        <v>1440</v>
      </c>
      <c r="G52" s="121">
        <v>0</v>
      </c>
      <c r="H52" s="121">
        <v>0</v>
      </c>
      <c r="I52" s="122">
        <v>0</v>
      </c>
    </row>
    <row r="53" spans="1:9">
      <c r="A53" s="123" t="s">
        <v>11</v>
      </c>
      <c r="B53" s="117" t="s">
        <v>259</v>
      </c>
      <c r="C53" s="117" t="s">
        <v>79</v>
      </c>
      <c r="D53" s="117" t="s">
        <v>262</v>
      </c>
      <c r="E53" s="117">
        <v>1072</v>
      </c>
      <c r="F53" s="117">
        <v>6432</v>
      </c>
      <c r="G53" s="117">
        <v>0</v>
      </c>
      <c r="H53" s="117">
        <v>12</v>
      </c>
      <c r="I53" s="118">
        <v>0</v>
      </c>
    </row>
    <row r="54" spans="1:9">
      <c r="A54" s="124" t="s">
        <v>11</v>
      </c>
      <c r="B54" s="121" t="s">
        <v>259</v>
      </c>
      <c r="C54" s="121" t="s">
        <v>11</v>
      </c>
      <c r="D54" s="121" t="s">
        <v>263</v>
      </c>
      <c r="E54" s="121">
        <v>13934</v>
      </c>
      <c r="F54" s="121">
        <v>83604</v>
      </c>
      <c r="G54" s="121">
        <v>0</v>
      </c>
      <c r="H54" s="121">
        <v>12</v>
      </c>
      <c r="I54" s="122">
        <v>18</v>
      </c>
    </row>
    <row r="55" spans="1:9">
      <c r="A55" s="123" t="s">
        <v>12</v>
      </c>
      <c r="B55" s="117" t="s">
        <v>264</v>
      </c>
      <c r="C55" s="117" t="s">
        <v>83</v>
      </c>
      <c r="D55" s="117" t="s">
        <v>257</v>
      </c>
      <c r="E55" s="117">
        <v>8</v>
      </c>
      <c r="F55" s="117">
        <v>48</v>
      </c>
      <c r="G55" s="117">
        <v>0</v>
      </c>
      <c r="H55" s="117">
        <v>0</v>
      </c>
      <c r="I55" s="118">
        <v>0</v>
      </c>
    </row>
    <row r="56" spans="1:9">
      <c r="A56" s="124" t="s">
        <v>12</v>
      </c>
      <c r="B56" s="121" t="s">
        <v>264</v>
      </c>
      <c r="C56" s="121" t="s">
        <v>80</v>
      </c>
      <c r="D56" s="121" t="s">
        <v>206</v>
      </c>
      <c r="E56" s="121">
        <v>3</v>
      </c>
      <c r="F56" s="121">
        <v>18</v>
      </c>
      <c r="G56" s="121">
        <v>0</v>
      </c>
      <c r="H56" s="121">
        <v>0</v>
      </c>
      <c r="I56" s="122">
        <v>0</v>
      </c>
    </row>
    <row r="57" spans="1:9">
      <c r="A57" s="123" t="s">
        <v>12</v>
      </c>
      <c r="B57" s="117" t="s">
        <v>264</v>
      </c>
      <c r="C57" s="117" t="s">
        <v>81</v>
      </c>
      <c r="D57" s="117" t="s">
        <v>265</v>
      </c>
      <c r="E57" s="117">
        <v>2</v>
      </c>
      <c r="F57" s="117">
        <v>12</v>
      </c>
      <c r="G57" s="117">
        <v>0</v>
      </c>
      <c r="H57" s="117">
        <v>0</v>
      </c>
      <c r="I57" s="118">
        <v>0</v>
      </c>
    </row>
    <row r="58" spans="1:9">
      <c r="A58" s="124" t="s">
        <v>12</v>
      </c>
      <c r="B58" s="121" t="s">
        <v>264</v>
      </c>
      <c r="C58" s="121" t="s">
        <v>82</v>
      </c>
      <c r="D58" s="121" t="s">
        <v>266</v>
      </c>
      <c r="E58" s="121">
        <v>17</v>
      </c>
      <c r="F58" s="121">
        <v>102</v>
      </c>
      <c r="G58" s="121">
        <v>0</v>
      </c>
      <c r="H58" s="121">
        <v>0</v>
      </c>
      <c r="I58" s="122">
        <v>0</v>
      </c>
    </row>
    <row r="59" spans="1:9">
      <c r="A59" s="123" t="s">
        <v>12</v>
      </c>
      <c r="B59" s="117" t="s">
        <v>264</v>
      </c>
      <c r="C59" s="117" t="s">
        <v>84</v>
      </c>
      <c r="D59" s="117" t="s">
        <v>267</v>
      </c>
      <c r="E59" s="117">
        <v>166</v>
      </c>
      <c r="F59" s="117">
        <v>996</v>
      </c>
      <c r="G59" s="117">
        <v>0</v>
      </c>
      <c r="H59" s="117">
        <v>0</v>
      </c>
      <c r="I59" s="118">
        <v>0</v>
      </c>
    </row>
    <row r="60" spans="1:9">
      <c r="A60" s="124" t="s">
        <v>12</v>
      </c>
      <c r="B60" s="121" t="s">
        <v>264</v>
      </c>
      <c r="C60" s="121" t="s">
        <v>85</v>
      </c>
      <c r="D60" s="121" t="s">
        <v>212</v>
      </c>
      <c r="E60" s="121">
        <v>15</v>
      </c>
      <c r="F60" s="121">
        <v>90</v>
      </c>
      <c r="G60" s="121">
        <v>0</v>
      </c>
      <c r="H60" s="121">
        <v>0</v>
      </c>
      <c r="I60" s="122">
        <v>0</v>
      </c>
    </row>
    <row r="61" spans="1:9">
      <c r="A61" s="123" t="s">
        <v>13</v>
      </c>
      <c r="B61" s="117" t="s">
        <v>268</v>
      </c>
      <c r="C61" s="117" t="s">
        <v>86</v>
      </c>
      <c r="D61" s="117" t="s">
        <v>269</v>
      </c>
      <c r="E61" s="117">
        <v>6</v>
      </c>
      <c r="F61" s="117">
        <v>36</v>
      </c>
      <c r="G61" s="117">
        <v>0</v>
      </c>
      <c r="H61" s="117">
        <v>0</v>
      </c>
      <c r="I61" s="118">
        <v>0</v>
      </c>
    </row>
    <row r="62" spans="1:9">
      <c r="A62" s="124" t="s">
        <v>13</v>
      </c>
      <c r="B62" s="121" t="s">
        <v>268</v>
      </c>
      <c r="C62" s="121" t="s">
        <v>87</v>
      </c>
      <c r="D62" s="121" t="s">
        <v>270</v>
      </c>
      <c r="E62" s="121">
        <v>42</v>
      </c>
      <c r="F62" s="121">
        <v>252</v>
      </c>
      <c r="G62" s="121">
        <v>0</v>
      </c>
      <c r="H62" s="121">
        <v>0</v>
      </c>
      <c r="I62" s="122">
        <v>0</v>
      </c>
    </row>
    <row r="63" spans="1:9">
      <c r="A63" s="123" t="s">
        <v>13</v>
      </c>
      <c r="B63" s="117" t="s">
        <v>268</v>
      </c>
      <c r="C63" s="117" t="s">
        <v>88</v>
      </c>
      <c r="D63" s="117" t="s">
        <v>271</v>
      </c>
      <c r="E63" s="117">
        <v>72</v>
      </c>
      <c r="F63" s="117">
        <v>432</v>
      </c>
      <c r="G63" s="117">
        <v>0</v>
      </c>
      <c r="H63" s="117">
        <v>0</v>
      </c>
      <c r="I63" s="118">
        <v>0</v>
      </c>
    </row>
    <row r="64" spans="1:9">
      <c r="A64" s="124" t="s">
        <v>14</v>
      </c>
      <c r="B64" s="121" t="s">
        <v>272</v>
      </c>
      <c r="C64" s="121" t="s">
        <v>89</v>
      </c>
      <c r="D64" s="121" t="s">
        <v>273</v>
      </c>
      <c r="E64" s="121">
        <v>15</v>
      </c>
      <c r="F64" s="121">
        <v>90</v>
      </c>
      <c r="G64" s="121">
        <v>0</v>
      </c>
      <c r="H64" s="121">
        <v>0</v>
      </c>
      <c r="I64" s="122">
        <v>12</v>
      </c>
    </row>
    <row r="65" spans="1:9">
      <c r="A65" s="123" t="s">
        <v>14</v>
      </c>
      <c r="B65" s="117" t="s">
        <v>272</v>
      </c>
      <c r="C65" s="117" t="s">
        <v>90</v>
      </c>
      <c r="D65" s="117" t="s">
        <v>274</v>
      </c>
      <c r="E65" s="117">
        <v>255</v>
      </c>
      <c r="F65" s="117">
        <v>1530</v>
      </c>
      <c r="G65" s="117">
        <v>0</v>
      </c>
      <c r="H65" s="117">
        <v>0</v>
      </c>
      <c r="I65" s="118">
        <v>12</v>
      </c>
    </row>
    <row r="66" spans="1:9">
      <c r="A66" s="124" t="s">
        <v>14</v>
      </c>
      <c r="B66" s="121" t="s">
        <v>272</v>
      </c>
      <c r="C66" s="121" t="s">
        <v>14</v>
      </c>
      <c r="D66" s="121" t="s">
        <v>275</v>
      </c>
      <c r="E66" s="121">
        <v>979</v>
      </c>
      <c r="F66" s="121">
        <v>5874</v>
      </c>
      <c r="G66" s="121">
        <v>0</v>
      </c>
      <c r="H66" s="121">
        <v>0</v>
      </c>
      <c r="I66" s="122">
        <v>0</v>
      </c>
    </row>
    <row r="67" spans="1:9">
      <c r="A67" s="123" t="s">
        <v>15</v>
      </c>
      <c r="B67" s="117" t="s">
        <v>276</v>
      </c>
      <c r="C67" s="117" t="s">
        <v>91</v>
      </c>
      <c r="D67" s="117" t="s">
        <v>277</v>
      </c>
      <c r="E67" s="117">
        <v>4719</v>
      </c>
      <c r="F67" s="117">
        <v>28141</v>
      </c>
      <c r="G67" s="117">
        <v>0</v>
      </c>
      <c r="H67" s="117">
        <v>12</v>
      </c>
      <c r="I67" s="118">
        <v>0</v>
      </c>
    </row>
    <row r="68" spans="1:9">
      <c r="A68" s="124" t="s">
        <v>15</v>
      </c>
      <c r="B68" s="121" t="s">
        <v>276</v>
      </c>
      <c r="C68" s="121" t="s">
        <v>92</v>
      </c>
      <c r="D68" s="121" t="s">
        <v>278</v>
      </c>
      <c r="E68" s="121">
        <v>1281</v>
      </c>
      <c r="F68" s="121">
        <v>7686</v>
      </c>
      <c r="G68" s="121">
        <v>0</v>
      </c>
      <c r="H68" s="121">
        <v>12</v>
      </c>
      <c r="I68" s="122">
        <v>0</v>
      </c>
    </row>
    <row r="69" spans="1:9">
      <c r="A69" s="123" t="s">
        <v>15</v>
      </c>
      <c r="B69" s="117" t="s">
        <v>276</v>
      </c>
      <c r="C69" s="117" t="s">
        <v>93</v>
      </c>
      <c r="D69" s="117" t="s">
        <v>279</v>
      </c>
      <c r="E69" s="117">
        <v>2694</v>
      </c>
      <c r="F69" s="117">
        <v>13498</v>
      </c>
      <c r="G69" s="117">
        <v>0</v>
      </c>
      <c r="H69" s="117">
        <v>0</v>
      </c>
      <c r="I69" s="118">
        <v>0</v>
      </c>
    </row>
    <row r="70" spans="1:9">
      <c r="A70" s="124" t="s">
        <v>15</v>
      </c>
      <c r="B70" s="121" t="s">
        <v>276</v>
      </c>
      <c r="C70" s="121" t="s">
        <v>94</v>
      </c>
      <c r="D70" s="121" t="s">
        <v>280</v>
      </c>
      <c r="E70" s="121">
        <v>7659</v>
      </c>
      <c r="F70" s="121">
        <v>41396</v>
      </c>
      <c r="G70" s="121">
        <v>0</v>
      </c>
      <c r="H70" s="121">
        <v>214</v>
      </c>
      <c r="I70" s="122">
        <v>15</v>
      </c>
    </row>
    <row r="71" spans="1:9">
      <c r="A71" s="123" t="s">
        <v>15</v>
      </c>
      <c r="B71" s="117" t="s">
        <v>276</v>
      </c>
      <c r="C71" s="117" t="s">
        <v>95</v>
      </c>
      <c r="D71" s="117" t="s">
        <v>281</v>
      </c>
      <c r="E71" s="117">
        <v>642</v>
      </c>
      <c r="F71" s="117">
        <v>3852</v>
      </c>
      <c r="G71" s="117">
        <v>0</v>
      </c>
      <c r="H71" s="117">
        <v>0</v>
      </c>
      <c r="I71" s="118">
        <v>0</v>
      </c>
    </row>
    <row r="72" spans="1:9">
      <c r="A72" s="124" t="s">
        <v>15</v>
      </c>
      <c r="B72" s="121" t="s">
        <v>276</v>
      </c>
      <c r="C72" s="121" t="s">
        <v>96</v>
      </c>
      <c r="D72" s="121" t="s">
        <v>282</v>
      </c>
      <c r="E72" s="121">
        <v>15594</v>
      </c>
      <c r="F72" s="121">
        <v>93564</v>
      </c>
      <c r="G72" s="121">
        <v>0</v>
      </c>
      <c r="H72" s="121">
        <v>732</v>
      </c>
      <c r="I72" s="122">
        <v>0</v>
      </c>
    </row>
    <row r="73" spans="1:9">
      <c r="A73" s="123" t="s">
        <v>15</v>
      </c>
      <c r="B73" s="117" t="s">
        <v>276</v>
      </c>
      <c r="C73" s="117" t="s">
        <v>97</v>
      </c>
      <c r="D73" s="117" t="s">
        <v>283</v>
      </c>
      <c r="E73" s="117">
        <v>6220</v>
      </c>
      <c r="F73" s="117">
        <v>37320</v>
      </c>
      <c r="G73" s="117">
        <v>0</v>
      </c>
      <c r="H73" s="117">
        <v>1092</v>
      </c>
      <c r="I73" s="118">
        <v>0</v>
      </c>
    </row>
    <row r="74" spans="1:9">
      <c r="A74" s="124" t="s">
        <v>15</v>
      </c>
      <c r="B74" s="121" t="s">
        <v>276</v>
      </c>
      <c r="C74" s="121" t="s">
        <v>98</v>
      </c>
      <c r="D74" s="121" t="s">
        <v>284</v>
      </c>
      <c r="E74" s="121">
        <v>1383</v>
      </c>
      <c r="F74" s="121">
        <v>8298</v>
      </c>
      <c r="G74" s="121">
        <v>0</v>
      </c>
      <c r="H74" s="121">
        <v>0</v>
      </c>
      <c r="I74" s="122">
        <v>0</v>
      </c>
    </row>
    <row r="75" spans="1:9">
      <c r="A75" s="123" t="s">
        <v>15</v>
      </c>
      <c r="B75" s="117" t="s">
        <v>276</v>
      </c>
      <c r="C75" s="117" t="s">
        <v>99</v>
      </c>
      <c r="D75" s="117" t="s">
        <v>285</v>
      </c>
      <c r="E75" s="117">
        <v>1292</v>
      </c>
      <c r="F75" s="117">
        <v>7752</v>
      </c>
      <c r="G75" s="117">
        <v>0</v>
      </c>
      <c r="H75" s="117">
        <v>0</v>
      </c>
      <c r="I75" s="118">
        <v>0</v>
      </c>
    </row>
    <row r="76" spans="1:9">
      <c r="A76" s="124" t="s">
        <v>16</v>
      </c>
      <c r="B76" s="121" t="s">
        <v>286</v>
      </c>
      <c r="C76" s="121" t="s">
        <v>100</v>
      </c>
      <c r="D76" s="121" t="s">
        <v>287</v>
      </c>
      <c r="E76" s="121">
        <v>113</v>
      </c>
      <c r="F76" s="121">
        <v>678</v>
      </c>
      <c r="G76" s="121">
        <v>0</v>
      </c>
      <c r="H76" s="121">
        <v>0</v>
      </c>
      <c r="I76" s="122">
        <v>0</v>
      </c>
    </row>
    <row r="77" spans="1:9">
      <c r="A77" s="123" t="s">
        <v>16</v>
      </c>
      <c r="B77" s="117" t="s">
        <v>286</v>
      </c>
      <c r="C77" s="117" t="s">
        <v>101</v>
      </c>
      <c r="D77" s="117" t="s">
        <v>288</v>
      </c>
      <c r="E77" s="117">
        <v>34</v>
      </c>
      <c r="F77" s="117">
        <v>204</v>
      </c>
      <c r="G77" s="117">
        <v>0</v>
      </c>
      <c r="H77" s="117">
        <v>0</v>
      </c>
      <c r="I77" s="118">
        <v>0</v>
      </c>
    </row>
    <row r="78" spans="1:9">
      <c r="A78" s="124" t="s">
        <v>16</v>
      </c>
      <c r="B78" s="121" t="s">
        <v>286</v>
      </c>
      <c r="C78" s="121" t="s">
        <v>102</v>
      </c>
      <c r="D78" s="121" t="s">
        <v>289</v>
      </c>
      <c r="E78" s="121">
        <v>255</v>
      </c>
      <c r="F78" s="121">
        <v>1530</v>
      </c>
      <c r="G78" s="121">
        <v>0</v>
      </c>
      <c r="H78" s="121">
        <v>12</v>
      </c>
      <c r="I78" s="122">
        <v>0</v>
      </c>
    </row>
    <row r="79" spans="1:9">
      <c r="A79" s="123" t="s">
        <v>16</v>
      </c>
      <c r="B79" s="117" t="s">
        <v>286</v>
      </c>
      <c r="C79" s="117" t="s">
        <v>61</v>
      </c>
      <c r="D79" s="117" t="s">
        <v>290</v>
      </c>
      <c r="E79" s="117">
        <v>10</v>
      </c>
      <c r="F79" s="117">
        <v>60</v>
      </c>
      <c r="G79" s="117">
        <v>0</v>
      </c>
      <c r="H79" s="117">
        <v>18</v>
      </c>
      <c r="I79" s="118">
        <v>0</v>
      </c>
    </row>
    <row r="80" spans="1:9">
      <c r="A80" s="124" t="s">
        <v>17</v>
      </c>
      <c r="B80" s="121" t="s">
        <v>291</v>
      </c>
      <c r="C80" s="121" t="s">
        <v>103</v>
      </c>
      <c r="D80" s="121" t="s">
        <v>292</v>
      </c>
      <c r="E80" s="121">
        <v>68</v>
      </c>
      <c r="F80" s="121">
        <v>408</v>
      </c>
      <c r="G80" s="121">
        <v>0</v>
      </c>
      <c r="H80" s="121">
        <v>0</v>
      </c>
      <c r="I80" s="122">
        <v>0</v>
      </c>
    </row>
    <row r="81" spans="1:9">
      <c r="A81" s="123" t="s">
        <v>17</v>
      </c>
      <c r="B81" s="117" t="s">
        <v>291</v>
      </c>
      <c r="C81" s="117" t="s">
        <v>104</v>
      </c>
      <c r="D81" s="117" t="s">
        <v>293</v>
      </c>
      <c r="E81" s="117">
        <v>119</v>
      </c>
      <c r="F81" s="117">
        <v>714</v>
      </c>
      <c r="G81" s="117">
        <v>0</v>
      </c>
      <c r="H81" s="117">
        <v>0</v>
      </c>
      <c r="I81" s="118">
        <v>0</v>
      </c>
    </row>
    <row r="82" spans="1:9">
      <c r="A82" s="124" t="s">
        <v>17</v>
      </c>
      <c r="B82" s="121" t="s">
        <v>291</v>
      </c>
      <c r="C82" s="121" t="s">
        <v>105</v>
      </c>
      <c r="D82" s="121" t="s">
        <v>294</v>
      </c>
      <c r="E82" s="121">
        <v>36</v>
      </c>
      <c r="F82" s="121">
        <v>216</v>
      </c>
      <c r="G82" s="121">
        <v>0</v>
      </c>
      <c r="H82" s="121">
        <v>0</v>
      </c>
      <c r="I82" s="122">
        <v>0</v>
      </c>
    </row>
    <row r="83" spans="1:9">
      <c r="A83" s="123" t="s">
        <v>17</v>
      </c>
      <c r="B83" s="117" t="s">
        <v>291</v>
      </c>
      <c r="C83" s="117" t="s">
        <v>106</v>
      </c>
      <c r="D83" s="117" t="s">
        <v>295</v>
      </c>
      <c r="E83" s="117">
        <v>108</v>
      </c>
      <c r="F83" s="117">
        <v>648</v>
      </c>
      <c r="G83" s="117">
        <v>0</v>
      </c>
      <c r="H83" s="117">
        <v>0</v>
      </c>
      <c r="I83" s="118">
        <v>0</v>
      </c>
    </row>
    <row r="84" spans="1:9">
      <c r="A84" s="124" t="s">
        <v>17</v>
      </c>
      <c r="B84" s="121" t="s">
        <v>291</v>
      </c>
      <c r="C84" s="121" t="s">
        <v>107</v>
      </c>
      <c r="D84" s="121" t="s">
        <v>296</v>
      </c>
      <c r="E84" s="121">
        <v>591</v>
      </c>
      <c r="F84" s="121">
        <v>3546</v>
      </c>
      <c r="G84" s="121">
        <v>0</v>
      </c>
      <c r="H84" s="121">
        <v>0</v>
      </c>
      <c r="I84" s="122">
        <v>0</v>
      </c>
    </row>
    <row r="85" spans="1:9">
      <c r="A85" s="123" t="s">
        <v>17</v>
      </c>
      <c r="B85" s="117" t="s">
        <v>291</v>
      </c>
      <c r="C85" s="117" t="s">
        <v>108</v>
      </c>
      <c r="D85" s="117" t="s">
        <v>297</v>
      </c>
      <c r="E85" s="117">
        <v>2617</v>
      </c>
      <c r="F85" s="117">
        <v>15702</v>
      </c>
      <c r="G85" s="117">
        <v>0</v>
      </c>
      <c r="H85" s="117">
        <v>18</v>
      </c>
      <c r="I85" s="118">
        <v>816</v>
      </c>
    </row>
    <row r="86" spans="1:9">
      <c r="A86" s="124" t="s">
        <v>17</v>
      </c>
      <c r="B86" s="121" t="s">
        <v>291</v>
      </c>
      <c r="C86" s="121" t="s">
        <v>109</v>
      </c>
      <c r="D86" s="121" t="s">
        <v>298</v>
      </c>
      <c r="E86" s="121">
        <v>1929</v>
      </c>
      <c r="F86" s="121">
        <v>11574</v>
      </c>
      <c r="G86" s="121">
        <v>0</v>
      </c>
      <c r="H86" s="121">
        <v>0</v>
      </c>
      <c r="I86" s="122">
        <v>0</v>
      </c>
    </row>
    <row r="87" spans="1:9">
      <c r="A87" s="123" t="s">
        <v>17</v>
      </c>
      <c r="B87" s="117" t="s">
        <v>291</v>
      </c>
      <c r="C87" s="117" t="s">
        <v>174</v>
      </c>
      <c r="D87" s="117" t="s">
        <v>299</v>
      </c>
      <c r="E87" s="117">
        <v>2979</v>
      </c>
      <c r="F87" s="117">
        <v>17874</v>
      </c>
      <c r="G87" s="117">
        <v>0</v>
      </c>
      <c r="H87" s="117">
        <v>264</v>
      </c>
      <c r="I87" s="118">
        <v>0</v>
      </c>
    </row>
    <row r="88" spans="1:9">
      <c r="A88" s="124" t="s">
        <v>18</v>
      </c>
      <c r="B88" s="121" t="s">
        <v>300</v>
      </c>
      <c r="C88" s="121" t="s">
        <v>110</v>
      </c>
      <c r="D88" s="121" t="s">
        <v>301</v>
      </c>
      <c r="E88" s="121">
        <v>1264</v>
      </c>
      <c r="F88" s="121">
        <v>7584</v>
      </c>
      <c r="G88" s="121">
        <v>0</v>
      </c>
      <c r="H88" s="121">
        <v>648</v>
      </c>
      <c r="I88" s="122">
        <v>0</v>
      </c>
    </row>
    <row r="89" spans="1:9">
      <c r="A89" s="123" t="s">
        <v>18</v>
      </c>
      <c r="B89" s="117" t="s">
        <v>300</v>
      </c>
      <c r="C89" s="117" t="s">
        <v>111</v>
      </c>
      <c r="D89" s="117" t="s">
        <v>302</v>
      </c>
      <c r="E89" s="117">
        <v>533</v>
      </c>
      <c r="F89" s="117">
        <v>3198</v>
      </c>
      <c r="G89" s="117">
        <v>0</v>
      </c>
      <c r="H89" s="117">
        <v>0</v>
      </c>
      <c r="I89" s="118">
        <v>0</v>
      </c>
    </row>
    <row r="90" spans="1:9">
      <c r="A90" s="124" t="s">
        <v>18</v>
      </c>
      <c r="B90" s="121" t="s">
        <v>300</v>
      </c>
      <c r="C90" s="121" t="s">
        <v>112</v>
      </c>
      <c r="D90" s="121" t="s">
        <v>303</v>
      </c>
      <c r="E90" s="121">
        <v>855</v>
      </c>
      <c r="F90" s="121">
        <v>5130</v>
      </c>
      <c r="G90" s="121">
        <v>0</v>
      </c>
      <c r="H90" s="121">
        <v>36</v>
      </c>
      <c r="I90" s="122">
        <v>0</v>
      </c>
    </row>
    <row r="91" spans="1:9">
      <c r="A91" s="123" t="s">
        <v>18</v>
      </c>
      <c r="B91" s="117" t="s">
        <v>300</v>
      </c>
      <c r="C91" s="117" t="s">
        <v>113</v>
      </c>
      <c r="D91" s="117" t="s">
        <v>304</v>
      </c>
      <c r="E91" s="117">
        <v>898</v>
      </c>
      <c r="F91" s="117">
        <v>5388</v>
      </c>
      <c r="G91" s="117">
        <v>18</v>
      </c>
      <c r="H91" s="117">
        <v>132</v>
      </c>
      <c r="I91" s="118">
        <v>6</v>
      </c>
    </row>
    <row r="92" spans="1:9">
      <c r="A92" s="124" t="s">
        <v>18</v>
      </c>
      <c r="B92" s="121" t="s">
        <v>300</v>
      </c>
      <c r="C92" s="121" t="s">
        <v>114</v>
      </c>
      <c r="D92" s="121" t="s">
        <v>305</v>
      </c>
      <c r="E92" s="121">
        <v>2981</v>
      </c>
      <c r="F92" s="121">
        <v>17738</v>
      </c>
      <c r="G92" s="121">
        <v>0</v>
      </c>
      <c r="H92" s="121">
        <v>41</v>
      </c>
      <c r="I92" s="122">
        <v>12</v>
      </c>
    </row>
    <row r="93" spans="1:9">
      <c r="A93" s="123" t="s">
        <v>18</v>
      </c>
      <c r="B93" s="117" t="s">
        <v>300</v>
      </c>
      <c r="C93" s="117" t="s">
        <v>115</v>
      </c>
      <c r="D93" s="117" t="s">
        <v>306</v>
      </c>
      <c r="E93" s="117">
        <v>5</v>
      </c>
      <c r="F93" s="117">
        <v>30</v>
      </c>
      <c r="G93" s="117">
        <v>0</v>
      </c>
      <c r="H93" s="117">
        <v>0</v>
      </c>
      <c r="I93" s="118">
        <v>0</v>
      </c>
    </row>
    <row r="94" spans="1:9">
      <c r="A94" s="124" t="s">
        <v>18</v>
      </c>
      <c r="B94" s="121" t="s">
        <v>300</v>
      </c>
      <c r="C94" s="121" t="s">
        <v>116</v>
      </c>
      <c r="D94" s="121" t="s">
        <v>307</v>
      </c>
      <c r="E94" s="121">
        <v>12</v>
      </c>
      <c r="F94" s="121">
        <v>72</v>
      </c>
      <c r="G94" s="121">
        <v>0</v>
      </c>
      <c r="H94" s="121">
        <v>6</v>
      </c>
      <c r="I94" s="122">
        <v>0</v>
      </c>
    </row>
    <row r="95" spans="1:9">
      <c r="A95" s="123" t="s">
        <v>18</v>
      </c>
      <c r="B95" s="117" t="s">
        <v>300</v>
      </c>
      <c r="C95" s="117" t="s">
        <v>117</v>
      </c>
      <c r="D95" s="117" t="s">
        <v>308</v>
      </c>
      <c r="E95" s="117">
        <v>290</v>
      </c>
      <c r="F95" s="117">
        <v>1740</v>
      </c>
      <c r="G95" s="117">
        <v>0</v>
      </c>
      <c r="H95" s="117">
        <v>18</v>
      </c>
      <c r="I95" s="118">
        <v>0</v>
      </c>
    </row>
    <row r="96" spans="1:9">
      <c r="A96" s="124" t="s">
        <v>18</v>
      </c>
      <c r="B96" s="121" t="s">
        <v>300</v>
      </c>
      <c r="C96" s="121" t="s">
        <v>118</v>
      </c>
      <c r="D96" s="121" t="s">
        <v>309</v>
      </c>
      <c r="E96" s="121">
        <v>63</v>
      </c>
      <c r="F96" s="121">
        <v>378</v>
      </c>
      <c r="G96" s="121">
        <v>0</v>
      </c>
      <c r="H96" s="121">
        <v>0</v>
      </c>
      <c r="I96" s="122">
        <v>0</v>
      </c>
    </row>
    <row r="97" spans="1:9">
      <c r="A97" s="123" t="s">
        <v>18</v>
      </c>
      <c r="B97" s="117" t="s">
        <v>300</v>
      </c>
      <c r="C97" s="117" t="s">
        <v>119</v>
      </c>
      <c r="D97" s="117" t="s">
        <v>310</v>
      </c>
      <c r="E97" s="117">
        <v>15550</v>
      </c>
      <c r="F97" s="117">
        <v>91349</v>
      </c>
      <c r="G97" s="117">
        <v>36</v>
      </c>
      <c r="H97" s="117">
        <v>3348</v>
      </c>
      <c r="I97" s="118">
        <v>258</v>
      </c>
    </row>
    <row r="98" spans="1:9">
      <c r="A98" s="124" t="s">
        <v>19</v>
      </c>
      <c r="B98" s="121" t="s">
        <v>311</v>
      </c>
      <c r="C98" s="121" t="s">
        <v>120</v>
      </c>
      <c r="D98" s="121" t="s">
        <v>312</v>
      </c>
      <c r="E98" s="121">
        <v>93</v>
      </c>
      <c r="F98" s="121">
        <v>558</v>
      </c>
      <c r="G98" s="121">
        <v>0</v>
      </c>
      <c r="H98" s="121">
        <v>0</v>
      </c>
      <c r="I98" s="122">
        <v>0</v>
      </c>
    </row>
    <row r="99" spans="1:9">
      <c r="A99" s="123" t="s">
        <v>19</v>
      </c>
      <c r="B99" s="117" t="s">
        <v>311</v>
      </c>
      <c r="C99" s="117" t="s">
        <v>121</v>
      </c>
      <c r="D99" s="117" t="s">
        <v>313</v>
      </c>
      <c r="E99" s="117">
        <v>3</v>
      </c>
      <c r="F99" s="117">
        <v>18</v>
      </c>
      <c r="G99" s="117">
        <v>0</v>
      </c>
      <c r="H99" s="117">
        <v>0</v>
      </c>
      <c r="I99" s="118">
        <v>0</v>
      </c>
    </row>
    <row r="100" spans="1:9">
      <c r="A100" s="124" t="s">
        <v>19</v>
      </c>
      <c r="B100" s="121" t="s">
        <v>311</v>
      </c>
      <c r="C100" s="121" t="s">
        <v>122</v>
      </c>
      <c r="D100" s="121" t="s">
        <v>314</v>
      </c>
      <c r="E100" s="121">
        <v>219</v>
      </c>
      <c r="F100" s="121">
        <v>1314</v>
      </c>
      <c r="G100" s="121">
        <v>0</v>
      </c>
      <c r="H100" s="121">
        <v>0</v>
      </c>
      <c r="I100" s="122">
        <v>0</v>
      </c>
    </row>
    <row r="101" spans="1:9">
      <c r="A101" s="123" t="s">
        <v>19</v>
      </c>
      <c r="B101" s="117" t="s">
        <v>311</v>
      </c>
      <c r="C101" s="117" t="s">
        <v>123</v>
      </c>
      <c r="D101" s="117" t="s">
        <v>315</v>
      </c>
      <c r="E101" s="117">
        <v>34</v>
      </c>
      <c r="F101" s="117">
        <v>204</v>
      </c>
      <c r="G101" s="117">
        <v>0</v>
      </c>
      <c r="H101" s="117">
        <v>0</v>
      </c>
      <c r="I101" s="118">
        <v>0</v>
      </c>
    </row>
    <row r="102" spans="1:9">
      <c r="A102" s="124" t="s">
        <v>20</v>
      </c>
      <c r="B102" s="121" t="s">
        <v>316</v>
      </c>
      <c r="C102" s="121" t="s">
        <v>124</v>
      </c>
      <c r="D102" s="121" t="s">
        <v>317</v>
      </c>
      <c r="E102" s="121">
        <v>71</v>
      </c>
      <c r="F102" s="121">
        <v>426</v>
      </c>
      <c r="G102" s="121">
        <v>0</v>
      </c>
      <c r="H102" s="121">
        <v>0</v>
      </c>
      <c r="I102" s="122">
        <v>0</v>
      </c>
    </row>
    <row r="103" spans="1:9">
      <c r="A103" s="123" t="s">
        <v>20</v>
      </c>
      <c r="B103" s="117" t="s">
        <v>316</v>
      </c>
      <c r="C103" s="117" t="s">
        <v>125</v>
      </c>
      <c r="D103" s="117" t="s">
        <v>318</v>
      </c>
      <c r="E103" s="117">
        <v>42</v>
      </c>
      <c r="F103" s="117">
        <v>252</v>
      </c>
      <c r="G103" s="117">
        <v>0</v>
      </c>
      <c r="H103" s="117">
        <v>0</v>
      </c>
      <c r="I103" s="118">
        <v>0</v>
      </c>
    </row>
    <row r="104" spans="1:9">
      <c r="A104" s="124" t="s">
        <v>20</v>
      </c>
      <c r="B104" s="121" t="s">
        <v>316</v>
      </c>
      <c r="C104" s="121" t="s">
        <v>126</v>
      </c>
      <c r="D104" s="121" t="s">
        <v>319</v>
      </c>
      <c r="E104" s="121">
        <v>45</v>
      </c>
      <c r="F104" s="121">
        <v>270</v>
      </c>
      <c r="G104" s="121">
        <v>0</v>
      </c>
      <c r="H104" s="121">
        <v>42</v>
      </c>
      <c r="I104" s="122">
        <v>0</v>
      </c>
    </row>
    <row r="105" spans="1:9">
      <c r="A105" s="123" t="s">
        <v>20</v>
      </c>
      <c r="B105" s="117" t="s">
        <v>316</v>
      </c>
      <c r="C105" s="117" t="s">
        <v>127</v>
      </c>
      <c r="D105" s="117" t="s">
        <v>320</v>
      </c>
      <c r="E105" s="117">
        <v>49</v>
      </c>
      <c r="F105" s="117">
        <v>294</v>
      </c>
      <c r="G105" s="117">
        <v>0</v>
      </c>
      <c r="H105" s="117">
        <v>6</v>
      </c>
      <c r="I105" s="118">
        <v>0</v>
      </c>
    </row>
    <row r="106" spans="1:9">
      <c r="A106" s="124" t="s">
        <v>20</v>
      </c>
      <c r="B106" s="121" t="s">
        <v>316</v>
      </c>
      <c r="C106" s="121" t="s">
        <v>128</v>
      </c>
      <c r="D106" s="121" t="s">
        <v>208</v>
      </c>
      <c r="E106" s="121">
        <v>32</v>
      </c>
      <c r="F106" s="121">
        <v>192</v>
      </c>
      <c r="G106" s="121">
        <v>0</v>
      </c>
      <c r="H106" s="121">
        <v>0</v>
      </c>
      <c r="I106" s="122">
        <v>0</v>
      </c>
    </row>
    <row r="107" spans="1:9">
      <c r="A107" s="111" t="s">
        <v>20</v>
      </c>
      <c r="B107" s="109" t="s">
        <v>316</v>
      </c>
      <c r="C107" s="109" t="s">
        <v>129</v>
      </c>
      <c r="D107" s="109" t="s">
        <v>321</v>
      </c>
      <c r="E107" s="109">
        <v>472</v>
      </c>
      <c r="F107" s="109">
        <v>2832</v>
      </c>
      <c r="G107" s="109">
        <v>0</v>
      </c>
      <c r="H107" s="109">
        <v>60</v>
      </c>
      <c r="I107" s="110">
        <v>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27"/>
  <sheetViews>
    <sheetView zoomScaleNormal="100" workbookViewId="0">
      <selection activeCell="G70" sqref="G70"/>
    </sheetView>
  </sheetViews>
  <sheetFormatPr defaultColWidth="9.140625" defaultRowHeight="15"/>
  <cols>
    <col min="1" max="1" width="16.28515625" style="16" bestFit="1" customWidth="1"/>
    <col min="2" max="2" width="20.140625" style="16" bestFit="1" customWidth="1"/>
    <col min="3" max="3" width="12" style="16" bestFit="1" customWidth="1"/>
    <col min="4" max="4" width="11.28515625" style="16" bestFit="1" customWidth="1"/>
    <col min="5" max="17" width="9.140625" style="16"/>
    <col min="18" max="18" width="27.28515625" style="16" bestFit="1" customWidth="1"/>
    <col min="19" max="19" width="17.42578125" style="16" bestFit="1" customWidth="1"/>
    <col min="20" max="20" width="19.140625" style="16" bestFit="1" customWidth="1"/>
    <col min="21" max="21" width="27.28515625" style="16" bestFit="1" customWidth="1"/>
    <col min="22" max="22" width="14.85546875" style="16" bestFit="1" customWidth="1"/>
    <col min="23" max="23" width="15" style="16" bestFit="1" customWidth="1"/>
    <col min="24" max="16384" width="9.140625" style="16"/>
  </cols>
  <sheetData>
    <row r="1" spans="1:22">
      <c r="A1" s="16" t="s">
        <v>152</v>
      </c>
      <c r="B1" s="16" t="s">
        <v>155</v>
      </c>
      <c r="C1" s="16" t="s">
        <v>156</v>
      </c>
      <c r="D1" s="16" t="s">
        <v>154</v>
      </c>
    </row>
    <row r="2" spans="1:22">
      <c r="A2" s="16" t="s">
        <v>28</v>
      </c>
      <c r="B2" s="16">
        <v>45247</v>
      </c>
      <c r="C2" s="16">
        <v>3.9620354916839899E-2</v>
      </c>
      <c r="D2" s="16">
        <v>13</v>
      </c>
    </row>
    <row r="3" spans="1:22">
      <c r="A3" s="16" t="s">
        <v>29</v>
      </c>
      <c r="B3" s="16">
        <v>240559</v>
      </c>
      <c r="C3" s="16">
        <v>0.2106445280005324</v>
      </c>
      <c r="D3" s="16">
        <v>12</v>
      </c>
    </row>
    <row r="4" spans="1:22">
      <c r="A4" s="16" t="s">
        <v>30</v>
      </c>
      <c r="B4" s="16">
        <v>364953</v>
      </c>
      <c r="C4" s="16">
        <v>0.31956963750006567</v>
      </c>
      <c r="D4" s="16">
        <v>11</v>
      </c>
    </row>
    <row r="5" spans="1:22">
      <c r="A5" s="16" t="s">
        <v>31</v>
      </c>
      <c r="B5" s="16">
        <v>109048</v>
      </c>
      <c r="C5" s="16">
        <v>9.5487445863185569E-2</v>
      </c>
      <c r="D5" s="16">
        <v>10</v>
      </c>
    </row>
    <row r="6" spans="1:22">
      <c r="A6" s="16" t="s">
        <v>32</v>
      </c>
      <c r="B6" s="16">
        <v>96813</v>
      </c>
      <c r="C6" s="16">
        <v>8.4773916957235199E-2</v>
      </c>
      <c r="D6" s="16">
        <v>9</v>
      </c>
    </row>
    <row r="7" spans="1:22">
      <c r="A7" s="16" t="s">
        <v>144</v>
      </c>
      <c r="B7" s="16">
        <v>40896</v>
      </c>
      <c r="C7" s="16">
        <v>3.5810419136718112E-2</v>
      </c>
      <c r="D7" s="16">
        <v>8</v>
      </c>
      <c r="T7" s="15"/>
      <c r="U7" s="15"/>
      <c r="V7" s="15"/>
    </row>
    <row r="8" spans="1:22">
      <c r="A8" s="16" t="s">
        <v>143</v>
      </c>
      <c r="B8" s="16">
        <v>153555</v>
      </c>
      <c r="C8" s="16">
        <v>0.13445982273422216</v>
      </c>
      <c r="D8" s="16">
        <v>7</v>
      </c>
      <c r="T8" s="15"/>
      <c r="U8" s="15"/>
      <c r="V8" s="15"/>
    </row>
    <row r="9" spans="1:22">
      <c r="A9" s="16" t="s">
        <v>33</v>
      </c>
      <c r="B9" s="16">
        <v>59541</v>
      </c>
      <c r="C9" s="16">
        <v>5.2136838952937532E-2</v>
      </c>
      <c r="D9" s="16">
        <v>6</v>
      </c>
      <c r="T9" s="15"/>
      <c r="U9" s="15"/>
      <c r="V9" s="15"/>
    </row>
    <row r="10" spans="1:22">
      <c r="A10" s="16" t="s">
        <v>159</v>
      </c>
      <c r="B10" s="16">
        <v>9333</v>
      </c>
      <c r="C10" s="16">
        <v>8.1724041911920512E-3</v>
      </c>
      <c r="D10" s="16">
        <v>5</v>
      </c>
      <c r="T10" s="15"/>
      <c r="U10" s="15"/>
      <c r="V10" s="15"/>
    </row>
    <row r="11" spans="1:22">
      <c r="A11" s="16" t="s">
        <v>176</v>
      </c>
      <c r="B11" s="16">
        <v>9549</v>
      </c>
      <c r="C11" s="16">
        <v>8.3615437288859853E-3</v>
      </c>
      <c r="D11" s="16">
        <v>4</v>
      </c>
      <c r="T11" s="15"/>
      <c r="U11" s="15"/>
      <c r="V11" s="15"/>
    </row>
    <row r="12" spans="1:22">
      <c r="A12" s="16" t="s">
        <v>182</v>
      </c>
      <c r="B12" s="16">
        <v>9100</v>
      </c>
      <c r="C12" s="16">
        <v>7.9683786713647987E-3</v>
      </c>
      <c r="D12" s="16">
        <v>3</v>
      </c>
      <c r="T12" s="15"/>
      <c r="U12" s="15"/>
      <c r="V12" s="15"/>
    </row>
    <row r="13" spans="1:22">
      <c r="A13" s="16" t="s">
        <v>190</v>
      </c>
      <c r="B13" s="16">
        <v>3348</v>
      </c>
      <c r="C13" s="16">
        <v>2.9316628342559723E-3</v>
      </c>
      <c r="D13" s="16">
        <v>2</v>
      </c>
      <c r="T13" s="15"/>
      <c r="U13" s="15"/>
      <c r="V13" s="15"/>
    </row>
    <row r="14" spans="1:22">
      <c r="A14" s="16" t="s">
        <v>193</v>
      </c>
      <c r="B14" s="16">
        <v>72</v>
      </c>
      <c r="C14" s="16">
        <v>6.304651256464457E-5</v>
      </c>
      <c r="D14" s="16">
        <v>1</v>
      </c>
      <c r="T14" s="15"/>
      <c r="U14" s="15"/>
      <c r="V14" s="15"/>
    </row>
    <row r="27" spans="1:4">
      <c r="A27" s="15"/>
      <c r="B27" s="15"/>
      <c r="C27" s="15"/>
      <c r="D27" s="1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77"/>
  <sheetViews>
    <sheetView topLeftCell="A37" zoomScale="75" zoomScaleNormal="75" workbookViewId="0">
      <selection activeCell="L63" sqref="L63"/>
    </sheetView>
  </sheetViews>
  <sheetFormatPr defaultColWidth="9.140625" defaultRowHeight="14.25"/>
  <cols>
    <col min="1" max="1" width="29.140625" style="7" bestFit="1" customWidth="1"/>
    <col min="2" max="2" width="8.7109375" style="7" bestFit="1" customWidth="1"/>
    <col min="3" max="3" width="13" style="7" bestFit="1" customWidth="1"/>
    <col min="4" max="4" width="17.85546875" style="7" bestFit="1" customWidth="1"/>
    <col min="5" max="5" width="19.140625" style="7" customWidth="1"/>
    <col min="6" max="6" width="25.140625" style="7" customWidth="1"/>
    <col min="7" max="7" width="17" style="7" bestFit="1" customWidth="1"/>
    <col min="8" max="8" width="16.85546875" style="7" bestFit="1" customWidth="1"/>
    <col min="9" max="9" width="20.85546875" style="7" bestFit="1" customWidth="1"/>
    <col min="10" max="10" width="17.85546875" style="7" bestFit="1" customWidth="1"/>
    <col min="11" max="11" width="30.28515625" style="7" bestFit="1" customWidth="1"/>
    <col min="12" max="12" width="42.85546875" style="7" bestFit="1" customWidth="1"/>
    <col min="13" max="14" width="42.85546875" style="7" customWidth="1"/>
    <col min="15" max="15" width="21.7109375" style="7" bestFit="1" customWidth="1"/>
    <col min="16" max="16" width="12.5703125" style="7" customWidth="1"/>
    <col min="17" max="18" width="9.140625" style="7"/>
    <col min="19" max="19" width="14.5703125" style="7" bestFit="1" customWidth="1"/>
    <col min="20" max="20" width="11.28515625" style="7" bestFit="1" customWidth="1"/>
    <col min="21" max="21" width="29.42578125" style="7" bestFit="1" customWidth="1"/>
    <col min="22" max="31" width="9.140625" style="7"/>
    <col min="32" max="32" width="19.85546875" style="7" bestFit="1" customWidth="1"/>
    <col min="33" max="33" width="20.85546875" style="7" bestFit="1" customWidth="1"/>
    <col min="34" max="16384" width="9.140625" style="7"/>
  </cols>
  <sheetData>
    <row r="1" spans="1:16">
      <c r="A1" s="1" t="s">
        <v>160</v>
      </c>
      <c r="B1" s="1" t="s">
        <v>21</v>
      </c>
      <c r="C1" s="1" t="s">
        <v>22</v>
      </c>
      <c r="D1" s="1" t="s">
        <v>23</v>
      </c>
      <c r="E1" s="1" t="s">
        <v>158</v>
      </c>
      <c r="F1" s="71" t="s">
        <v>188</v>
      </c>
      <c r="G1" s="71" t="s">
        <v>187</v>
      </c>
      <c r="H1" s="1" t="s">
        <v>184</v>
      </c>
      <c r="I1" s="1" t="s">
        <v>26</v>
      </c>
      <c r="J1" s="1" t="s">
        <v>24</v>
      </c>
      <c r="K1" s="1" t="s">
        <v>25</v>
      </c>
      <c r="L1" s="1" t="s">
        <v>185</v>
      </c>
      <c r="M1" s="1" t="s">
        <v>186</v>
      </c>
      <c r="N1" s="1" t="s">
        <v>27</v>
      </c>
      <c r="O1" s="1" t="s">
        <v>135</v>
      </c>
      <c r="P1" s="8"/>
    </row>
    <row r="2" spans="1:16">
      <c r="A2" s="2" t="s">
        <v>3</v>
      </c>
      <c r="B2" s="3">
        <v>0</v>
      </c>
      <c r="C2" s="3">
        <v>2028</v>
      </c>
      <c r="D2" s="3">
        <v>0</v>
      </c>
      <c r="E2" s="3">
        <v>300</v>
      </c>
      <c r="F2" s="3">
        <v>11304</v>
      </c>
      <c r="G2" s="3">
        <v>390</v>
      </c>
      <c r="H2" s="3">
        <v>14988</v>
      </c>
      <c r="I2" s="3">
        <v>744</v>
      </c>
      <c r="J2" s="3">
        <v>162</v>
      </c>
      <c r="K2" s="3">
        <v>12</v>
      </c>
      <c r="L2" s="3">
        <v>0</v>
      </c>
      <c r="M2" s="3">
        <v>5040</v>
      </c>
      <c r="N2" s="3">
        <v>0</v>
      </c>
      <c r="O2" s="3">
        <v>34968</v>
      </c>
      <c r="P2" s="9"/>
    </row>
    <row r="3" spans="1:16">
      <c r="A3" s="2" t="s">
        <v>4</v>
      </c>
      <c r="B3" s="3">
        <v>0</v>
      </c>
      <c r="C3" s="3">
        <v>432</v>
      </c>
      <c r="D3" s="3">
        <v>0</v>
      </c>
      <c r="E3" s="3">
        <v>1758</v>
      </c>
      <c r="F3" s="3">
        <v>13668</v>
      </c>
      <c r="G3" s="3">
        <v>0</v>
      </c>
      <c r="H3" s="3">
        <v>360</v>
      </c>
      <c r="I3" s="3">
        <v>30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16248</v>
      </c>
      <c r="P3" s="9"/>
    </row>
    <row r="4" spans="1:16">
      <c r="A4" s="2" t="s">
        <v>5</v>
      </c>
      <c r="B4" s="3">
        <v>0</v>
      </c>
      <c r="C4" s="3">
        <v>600</v>
      </c>
      <c r="D4" s="3">
        <v>0</v>
      </c>
      <c r="E4" s="3">
        <v>888</v>
      </c>
      <c r="F4" s="3">
        <v>13980</v>
      </c>
      <c r="G4" s="3">
        <v>822</v>
      </c>
      <c r="H4" s="3">
        <v>10020</v>
      </c>
      <c r="I4" s="3">
        <v>120</v>
      </c>
      <c r="J4" s="3">
        <v>78</v>
      </c>
      <c r="K4" s="3">
        <v>66</v>
      </c>
      <c r="L4" s="3">
        <v>0</v>
      </c>
      <c r="M4" s="3">
        <v>60</v>
      </c>
      <c r="N4" s="3">
        <v>0</v>
      </c>
      <c r="O4" s="3">
        <v>26634</v>
      </c>
      <c r="P4" s="9"/>
    </row>
    <row r="5" spans="1:16">
      <c r="A5" s="2" t="s">
        <v>6</v>
      </c>
      <c r="B5" s="3">
        <v>0</v>
      </c>
      <c r="C5" s="3">
        <v>858</v>
      </c>
      <c r="D5" s="3">
        <v>42</v>
      </c>
      <c r="E5" s="3">
        <v>540</v>
      </c>
      <c r="F5" s="3">
        <v>3240</v>
      </c>
      <c r="G5" s="3">
        <v>0</v>
      </c>
      <c r="H5" s="3">
        <v>174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4854</v>
      </c>
      <c r="P5" s="9"/>
    </row>
    <row r="6" spans="1:16">
      <c r="A6" s="2" t="s">
        <v>7</v>
      </c>
      <c r="B6" s="3">
        <v>106020</v>
      </c>
      <c r="C6" s="3">
        <v>0</v>
      </c>
      <c r="D6" s="3">
        <v>0</v>
      </c>
      <c r="E6" s="3">
        <v>9084</v>
      </c>
      <c r="F6" s="3">
        <v>106686</v>
      </c>
      <c r="G6" s="3">
        <v>0</v>
      </c>
      <c r="H6" s="3">
        <v>11658</v>
      </c>
      <c r="I6" s="3">
        <v>6774</v>
      </c>
      <c r="J6" s="3">
        <v>0</v>
      </c>
      <c r="K6" s="3">
        <v>0</v>
      </c>
      <c r="L6" s="3">
        <v>42</v>
      </c>
      <c r="M6" s="3">
        <v>36</v>
      </c>
      <c r="N6" s="3">
        <v>0</v>
      </c>
      <c r="O6" s="3">
        <v>240300</v>
      </c>
      <c r="P6" s="9"/>
    </row>
    <row r="7" spans="1:16">
      <c r="A7" s="2" t="s">
        <v>8</v>
      </c>
      <c r="B7" s="3">
        <v>330</v>
      </c>
      <c r="C7" s="3">
        <v>3294</v>
      </c>
      <c r="D7" s="3">
        <v>0</v>
      </c>
      <c r="E7" s="3">
        <v>546</v>
      </c>
      <c r="F7" s="3">
        <v>37524</v>
      </c>
      <c r="G7" s="3">
        <v>1896</v>
      </c>
      <c r="H7" s="3">
        <v>0</v>
      </c>
      <c r="I7" s="3">
        <v>288</v>
      </c>
      <c r="J7" s="3">
        <v>0</v>
      </c>
      <c r="K7" s="3">
        <v>0</v>
      </c>
      <c r="L7" s="3">
        <v>0</v>
      </c>
      <c r="M7" s="3">
        <v>216</v>
      </c>
      <c r="N7" s="3">
        <v>0</v>
      </c>
      <c r="O7" s="3">
        <v>44094</v>
      </c>
      <c r="P7" s="9"/>
    </row>
    <row r="8" spans="1:16">
      <c r="A8" s="2" t="s">
        <v>9</v>
      </c>
      <c r="B8" s="3">
        <v>12500</v>
      </c>
      <c r="C8" s="3">
        <v>48</v>
      </c>
      <c r="D8" s="3">
        <v>216</v>
      </c>
      <c r="E8" s="3">
        <v>828</v>
      </c>
      <c r="F8" s="3">
        <v>214530</v>
      </c>
      <c r="G8" s="3">
        <v>0</v>
      </c>
      <c r="H8" s="3">
        <v>378</v>
      </c>
      <c r="I8" s="3">
        <v>366</v>
      </c>
      <c r="J8" s="3">
        <v>0</v>
      </c>
      <c r="K8" s="3">
        <v>0</v>
      </c>
      <c r="L8" s="3">
        <v>0</v>
      </c>
      <c r="M8" s="3">
        <v>48</v>
      </c>
      <c r="N8" s="3">
        <v>0</v>
      </c>
      <c r="O8" s="3">
        <v>228914</v>
      </c>
      <c r="P8" s="9"/>
    </row>
    <row r="9" spans="1:16">
      <c r="A9" s="2" t="s">
        <v>10</v>
      </c>
      <c r="B9" s="3">
        <v>0</v>
      </c>
      <c r="C9" s="3">
        <v>30</v>
      </c>
      <c r="D9" s="3">
        <v>0</v>
      </c>
      <c r="E9" s="3">
        <v>4026</v>
      </c>
      <c r="F9" s="3">
        <v>5988</v>
      </c>
      <c r="G9" s="3">
        <v>0</v>
      </c>
      <c r="H9" s="3">
        <v>150</v>
      </c>
      <c r="I9" s="3">
        <v>0</v>
      </c>
      <c r="J9" s="3">
        <v>36</v>
      </c>
      <c r="K9" s="3">
        <v>0</v>
      </c>
      <c r="L9" s="3">
        <v>0</v>
      </c>
      <c r="M9" s="3">
        <v>0</v>
      </c>
      <c r="N9" s="3">
        <v>0</v>
      </c>
      <c r="O9" s="3">
        <v>10230</v>
      </c>
      <c r="P9" s="9"/>
    </row>
    <row r="10" spans="1:16">
      <c r="A10" s="2" t="s">
        <v>11</v>
      </c>
      <c r="B10" s="3">
        <v>0</v>
      </c>
      <c r="C10" s="3">
        <v>360</v>
      </c>
      <c r="D10" s="3">
        <v>0</v>
      </c>
      <c r="E10" s="3">
        <v>2244</v>
      </c>
      <c r="F10" s="3">
        <v>77952</v>
      </c>
      <c r="G10" s="3">
        <v>1836</v>
      </c>
      <c r="H10" s="3">
        <v>10092</v>
      </c>
      <c r="I10" s="3">
        <v>12</v>
      </c>
      <c r="J10" s="3">
        <v>0</v>
      </c>
      <c r="K10" s="3">
        <v>114</v>
      </c>
      <c r="L10" s="3">
        <v>0</v>
      </c>
      <c r="M10" s="3">
        <v>54</v>
      </c>
      <c r="N10" s="3">
        <v>0</v>
      </c>
      <c r="O10" s="3">
        <v>92664</v>
      </c>
      <c r="P10" s="9"/>
    </row>
    <row r="11" spans="1:16">
      <c r="A11" s="2" t="s">
        <v>12</v>
      </c>
      <c r="B11" s="3">
        <v>0</v>
      </c>
      <c r="C11" s="3">
        <v>60</v>
      </c>
      <c r="D11" s="3">
        <v>0</v>
      </c>
      <c r="E11" s="3">
        <v>36</v>
      </c>
      <c r="F11" s="3">
        <v>1074</v>
      </c>
      <c r="G11" s="3">
        <v>0</v>
      </c>
      <c r="H11" s="3">
        <v>90</v>
      </c>
      <c r="I11" s="3">
        <v>0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1266</v>
      </c>
      <c r="P11" s="9"/>
    </row>
    <row r="12" spans="1:16">
      <c r="A12" s="2" t="s">
        <v>13</v>
      </c>
      <c r="B12" s="3">
        <v>0</v>
      </c>
      <c r="C12" s="3">
        <v>36</v>
      </c>
      <c r="D12" s="3">
        <v>0</v>
      </c>
      <c r="E12" s="3">
        <v>0</v>
      </c>
      <c r="F12" s="3">
        <v>654</v>
      </c>
      <c r="G12" s="3">
        <v>0</v>
      </c>
      <c r="H12" s="3">
        <v>0</v>
      </c>
      <c r="I12" s="3">
        <v>24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720</v>
      </c>
      <c r="P12" s="9"/>
    </row>
    <row r="13" spans="1:16">
      <c r="A13" s="2" t="s">
        <v>14</v>
      </c>
      <c r="B13" s="3">
        <v>0</v>
      </c>
      <c r="C13" s="3">
        <v>0</v>
      </c>
      <c r="D13" s="3">
        <v>0</v>
      </c>
      <c r="E13" s="3">
        <v>1428</v>
      </c>
      <c r="F13" s="3">
        <v>5538</v>
      </c>
      <c r="G13" s="3">
        <v>18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510</v>
      </c>
      <c r="N13" s="3">
        <v>0</v>
      </c>
      <c r="O13" s="3">
        <v>7494</v>
      </c>
      <c r="P13" s="9"/>
    </row>
    <row r="14" spans="1:16">
      <c r="A14" s="2" t="s">
        <v>15</v>
      </c>
      <c r="B14" s="3">
        <v>36985</v>
      </c>
      <c r="C14" s="3">
        <v>10110</v>
      </c>
      <c r="D14" s="3">
        <v>0</v>
      </c>
      <c r="E14" s="3">
        <v>9024</v>
      </c>
      <c r="F14" s="3">
        <v>168882</v>
      </c>
      <c r="G14" s="3">
        <v>4266</v>
      </c>
      <c r="H14" s="3">
        <v>6024</v>
      </c>
      <c r="I14" s="3">
        <v>4848</v>
      </c>
      <c r="J14" s="3">
        <v>186</v>
      </c>
      <c r="K14" s="3">
        <v>216</v>
      </c>
      <c r="L14" s="3">
        <v>204</v>
      </c>
      <c r="M14" s="3">
        <v>0</v>
      </c>
      <c r="N14" s="3">
        <v>762</v>
      </c>
      <c r="O14" s="3">
        <v>241507</v>
      </c>
      <c r="P14" s="9"/>
    </row>
    <row r="15" spans="1:16">
      <c r="A15" s="2" t="s">
        <v>16</v>
      </c>
      <c r="B15" s="3">
        <v>0</v>
      </c>
      <c r="C15" s="3">
        <v>0</v>
      </c>
      <c r="D15" s="3">
        <v>0</v>
      </c>
      <c r="E15" s="3">
        <v>0</v>
      </c>
      <c r="F15" s="3">
        <v>2058</v>
      </c>
      <c r="G15" s="3">
        <v>0</v>
      </c>
      <c r="H15" s="3">
        <v>48</v>
      </c>
      <c r="I15" s="3">
        <v>18</v>
      </c>
      <c r="J15" s="3">
        <v>258</v>
      </c>
      <c r="K15" s="3">
        <v>0</v>
      </c>
      <c r="L15" s="3">
        <v>0</v>
      </c>
      <c r="M15" s="3">
        <v>90</v>
      </c>
      <c r="N15" s="3">
        <v>0</v>
      </c>
      <c r="O15" s="3">
        <v>2472</v>
      </c>
      <c r="P15" s="9"/>
    </row>
    <row r="16" spans="1:16">
      <c r="A16" s="2" t="s">
        <v>17</v>
      </c>
      <c r="B16" s="3">
        <v>0</v>
      </c>
      <c r="C16" s="3">
        <v>3114</v>
      </c>
      <c r="D16" s="3">
        <v>0</v>
      </c>
      <c r="E16" s="3">
        <v>1836</v>
      </c>
      <c r="F16" s="3">
        <v>29520</v>
      </c>
      <c r="G16" s="3">
        <v>6336</v>
      </c>
      <c r="H16" s="3">
        <v>8346</v>
      </c>
      <c r="I16" s="3">
        <v>1176</v>
      </c>
      <c r="J16" s="3">
        <v>0</v>
      </c>
      <c r="K16" s="3">
        <v>132</v>
      </c>
      <c r="L16" s="3">
        <v>198</v>
      </c>
      <c r="M16" s="3">
        <v>24</v>
      </c>
      <c r="N16" s="3">
        <v>0</v>
      </c>
      <c r="O16" s="3">
        <v>50682</v>
      </c>
      <c r="P16" s="9"/>
    </row>
    <row r="17" spans="1:16">
      <c r="A17" s="2" t="s">
        <v>18</v>
      </c>
      <c r="B17" s="3">
        <v>10495</v>
      </c>
      <c r="C17" s="3">
        <v>12</v>
      </c>
      <c r="D17" s="3">
        <v>36</v>
      </c>
      <c r="E17" s="3">
        <v>4650</v>
      </c>
      <c r="F17" s="3">
        <v>117294</v>
      </c>
      <c r="G17" s="3">
        <v>0</v>
      </c>
      <c r="H17" s="3">
        <v>0</v>
      </c>
      <c r="I17" s="3">
        <v>96</v>
      </c>
      <c r="J17" s="3">
        <v>12</v>
      </c>
      <c r="K17" s="3">
        <v>12</v>
      </c>
      <c r="L17" s="3">
        <v>0</v>
      </c>
      <c r="M17" s="3">
        <v>0</v>
      </c>
      <c r="N17" s="3">
        <v>0</v>
      </c>
      <c r="O17" s="3">
        <v>132607</v>
      </c>
      <c r="P17" s="9"/>
    </row>
    <row r="18" spans="1:16">
      <c r="A18" s="2" t="s">
        <v>19</v>
      </c>
      <c r="B18" s="3">
        <v>0</v>
      </c>
      <c r="C18" s="3">
        <v>336</v>
      </c>
      <c r="D18" s="3">
        <v>0</v>
      </c>
      <c r="E18" s="3">
        <v>444</v>
      </c>
      <c r="F18" s="3">
        <v>1242</v>
      </c>
      <c r="G18" s="3">
        <v>0</v>
      </c>
      <c r="H18" s="3">
        <v>54</v>
      </c>
      <c r="I18" s="3">
        <v>0</v>
      </c>
      <c r="J18" s="3">
        <v>18</v>
      </c>
      <c r="K18" s="3">
        <v>0</v>
      </c>
      <c r="L18" s="3">
        <v>0</v>
      </c>
      <c r="M18" s="3">
        <v>0</v>
      </c>
      <c r="N18" s="3">
        <v>0</v>
      </c>
      <c r="O18" s="3">
        <v>2094</v>
      </c>
      <c r="P18" s="9"/>
    </row>
    <row r="19" spans="1:16">
      <c r="A19" s="2" t="s">
        <v>20</v>
      </c>
      <c r="B19" s="3">
        <v>0</v>
      </c>
      <c r="C19" s="3">
        <v>48</v>
      </c>
      <c r="D19" s="3">
        <v>0</v>
      </c>
      <c r="E19" s="3">
        <v>168</v>
      </c>
      <c r="F19" s="3">
        <v>4050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4266</v>
      </c>
      <c r="P19" s="9"/>
    </row>
    <row r="20" spans="1:16">
      <c r="A20" s="2" t="s">
        <v>138</v>
      </c>
      <c r="B20" s="3">
        <v>166330</v>
      </c>
      <c r="C20" s="3">
        <v>21366</v>
      </c>
      <c r="D20" s="3">
        <v>294</v>
      </c>
      <c r="E20" s="3">
        <v>37800</v>
      </c>
      <c r="F20" s="3">
        <v>815184</v>
      </c>
      <c r="G20" s="3">
        <v>15564</v>
      </c>
      <c r="H20" s="3">
        <v>62382</v>
      </c>
      <c r="I20" s="3">
        <v>14496</v>
      </c>
      <c r="J20" s="3">
        <v>762</v>
      </c>
      <c r="K20" s="3">
        <v>552</v>
      </c>
      <c r="L20" s="3">
        <v>444</v>
      </c>
      <c r="M20" s="3">
        <v>6078</v>
      </c>
      <c r="N20" s="3">
        <v>762</v>
      </c>
      <c r="O20" s="3">
        <v>1142014</v>
      </c>
      <c r="P20" s="9"/>
    </row>
    <row r="21" spans="1:16">
      <c r="A21" s="4"/>
      <c r="B21" s="5">
        <v>0.14564620048440738</v>
      </c>
      <c r="C21" s="5">
        <v>1.8709052603558277E-2</v>
      </c>
      <c r="D21" s="5">
        <v>2.5743992630563196E-4</v>
      </c>
      <c r="E21" s="5">
        <v>3.3099419096438397E-2</v>
      </c>
      <c r="F21" s="5">
        <v>0.71381261525690576</v>
      </c>
      <c r="G21" s="5">
        <v>1.3628554466057334E-2</v>
      </c>
      <c r="H21" s="5">
        <v>5.4624549261217466E-2</v>
      </c>
      <c r="I21" s="5">
        <v>1.2693364529681773E-2</v>
      </c>
      <c r="J21" s="5">
        <v>6.6724225797582166E-4</v>
      </c>
      <c r="K21" s="5">
        <v>4.8335659632894168E-4</v>
      </c>
      <c r="L21" s="5">
        <v>3.8878682748197483E-4</v>
      </c>
      <c r="M21" s="5">
        <v>5.3221764356654122E-3</v>
      </c>
      <c r="N21" s="5">
        <v>6.6724225797582166E-4</v>
      </c>
      <c r="O21" s="3"/>
      <c r="P21" s="6"/>
    </row>
    <row r="22" spans="1:1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57" spans="7:26">
      <c r="U57" s="11"/>
      <c r="V57" s="11"/>
      <c r="W57" s="11"/>
      <c r="X57" s="11"/>
      <c r="Y57" s="11"/>
    </row>
    <row r="58" spans="7:26">
      <c r="T58" s="12"/>
      <c r="U58" s="68" t="str">
        <f t="shared" ref="U58:U62" si="0">A1</f>
        <v>Governorate of Displacement</v>
      </c>
      <c r="V58" s="68" t="s">
        <v>21</v>
      </c>
      <c r="W58" s="68" t="s">
        <v>22</v>
      </c>
      <c r="X58" s="68" t="s">
        <v>183</v>
      </c>
      <c r="Y58" s="68" t="s">
        <v>145</v>
      </c>
      <c r="Z58" s="6"/>
    </row>
    <row r="59" spans="7:26">
      <c r="G59" s="67" t="s">
        <v>146</v>
      </c>
      <c r="H59" s="67" t="s">
        <v>2</v>
      </c>
      <c r="T59" s="12"/>
      <c r="U59" s="13" t="str">
        <f t="shared" si="0"/>
        <v>Anbar</v>
      </c>
      <c r="V59" s="89">
        <f t="shared" ref="V59:V62" si="1">B2</f>
        <v>0</v>
      </c>
      <c r="W59" s="89">
        <f t="shared" ref="W59:W62" si="2">C2</f>
        <v>2028</v>
      </c>
      <c r="X59" s="89">
        <f>F2</f>
        <v>11304</v>
      </c>
      <c r="Y59" s="89">
        <f t="shared" ref="Y59:Y76" si="3">SUM(D2:E2,G2:N2)</f>
        <v>21636</v>
      </c>
      <c r="Z59" s="6"/>
    </row>
    <row r="60" spans="7:26">
      <c r="G60" s="2" t="s">
        <v>147</v>
      </c>
      <c r="H60" s="86">
        <f>B20</f>
        <v>166330</v>
      </c>
      <c r="I60" s="70"/>
      <c r="T60" s="12"/>
      <c r="U60" s="13" t="str">
        <f t="shared" si="0"/>
        <v>Babylon</v>
      </c>
      <c r="V60" s="89">
        <f t="shared" si="1"/>
        <v>0</v>
      </c>
      <c r="W60" s="89">
        <f t="shared" si="2"/>
        <v>432</v>
      </c>
      <c r="X60" s="89">
        <f t="shared" ref="X60:X62" si="4">F3</f>
        <v>13668</v>
      </c>
      <c r="Y60" s="89">
        <f t="shared" si="3"/>
        <v>2148</v>
      </c>
      <c r="Z60" s="6"/>
    </row>
    <row r="61" spans="7:26">
      <c r="G61" s="2" t="s">
        <v>148</v>
      </c>
      <c r="H61" s="86">
        <f>SUM(G20:M20)</f>
        <v>100278</v>
      </c>
      <c r="I61" s="62"/>
      <c r="T61" s="12"/>
      <c r="U61" s="13" t="str">
        <f t="shared" si="0"/>
        <v>Baghdad</v>
      </c>
      <c r="V61" s="89">
        <f t="shared" si="1"/>
        <v>0</v>
      </c>
      <c r="W61" s="89">
        <f t="shared" si="2"/>
        <v>600</v>
      </c>
      <c r="X61" s="89">
        <f t="shared" si="4"/>
        <v>13980</v>
      </c>
      <c r="Y61" s="89">
        <f t="shared" si="3"/>
        <v>12054</v>
      </c>
      <c r="Z61" s="6"/>
    </row>
    <row r="62" spans="7:26">
      <c r="G62" s="2" t="s">
        <v>149</v>
      </c>
      <c r="H62" s="86">
        <f>C20+D20+E20+F20</f>
        <v>874644</v>
      </c>
      <c r="I62" s="62"/>
      <c r="T62" s="12"/>
      <c r="U62" s="13" t="str">
        <f t="shared" si="0"/>
        <v>Basrah</v>
      </c>
      <c r="V62" s="89">
        <f t="shared" si="1"/>
        <v>0</v>
      </c>
      <c r="W62" s="89">
        <f t="shared" si="2"/>
        <v>858</v>
      </c>
      <c r="X62" s="89">
        <f t="shared" si="4"/>
        <v>3240</v>
      </c>
      <c r="Y62" s="89">
        <f t="shared" si="3"/>
        <v>756</v>
      </c>
      <c r="Z62" s="6"/>
    </row>
    <row r="63" spans="7:26">
      <c r="G63" s="2" t="s">
        <v>150</v>
      </c>
      <c r="H63" s="86">
        <f>N20</f>
        <v>762</v>
      </c>
      <c r="I63" s="62"/>
      <c r="T63" s="12"/>
      <c r="U63" s="13" t="str">
        <f t="shared" ref="U63:U73" si="5">A6</f>
        <v>Dahuk</v>
      </c>
      <c r="V63" s="89">
        <f t="shared" ref="V63:V73" si="6">B6</f>
        <v>106020</v>
      </c>
      <c r="W63" s="89">
        <f t="shared" ref="W63:W73" si="7">C6</f>
        <v>0</v>
      </c>
      <c r="X63" s="89">
        <f t="shared" ref="X63:X76" si="8">F6</f>
        <v>106686</v>
      </c>
      <c r="Y63" s="89">
        <f t="shared" si="3"/>
        <v>27594</v>
      </c>
      <c r="Z63" s="6"/>
    </row>
    <row r="64" spans="7:26">
      <c r="I64" s="62"/>
      <c r="T64" s="12"/>
      <c r="U64" s="13" t="str">
        <f t="shared" si="5"/>
        <v>Diyala</v>
      </c>
      <c r="V64" s="89">
        <f t="shared" si="6"/>
        <v>330</v>
      </c>
      <c r="W64" s="89">
        <f t="shared" si="7"/>
        <v>3294</v>
      </c>
      <c r="X64" s="89">
        <f t="shared" si="8"/>
        <v>37524</v>
      </c>
      <c r="Y64" s="89">
        <f t="shared" si="3"/>
        <v>2946</v>
      </c>
      <c r="Z64" s="6"/>
    </row>
    <row r="65" spans="6:26">
      <c r="T65" s="12"/>
      <c r="U65" s="13" t="str">
        <f t="shared" si="5"/>
        <v>Erbil</v>
      </c>
      <c r="V65" s="89">
        <f t="shared" si="6"/>
        <v>12500</v>
      </c>
      <c r="W65" s="89">
        <f t="shared" si="7"/>
        <v>48</v>
      </c>
      <c r="X65" s="89">
        <f t="shared" si="8"/>
        <v>214530</v>
      </c>
      <c r="Y65" s="89">
        <f t="shared" si="3"/>
        <v>1836</v>
      </c>
      <c r="Z65" s="6"/>
    </row>
    <row r="66" spans="6:26">
      <c r="T66" s="12"/>
      <c r="U66" s="13" t="str">
        <f t="shared" si="5"/>
        <v>Kerbala</v>
      </c>
      <c r="V66" s="89">
        <f t="shared" si="6"/>
        <v>0</v>
      </c>
      <c r="W66" s="89">
        <f t="shared" si="7"/>
        <v>30</v>
      </c>
      <c r="X66" s="89">
        <f t="shared" si="8"/>
        <v>5988</v>
      </c>
      <c r="Y66" s="89">
        <f t="shared" si="3"/>
        <v>4212</v>
      </c>
      <c r="Z66" s="6"/>
    </row>
    <row r="67" spans="6:26">
      <c r="T67" s="12"/>
      <c r="U67" s="13" t="str">
        <f t="shared" si="5"/>
        <v>Kirkuk</v>
      </c>
      <c r="V67" s="89">
        <f t="shared" si="6"/>
        <v>0</v>
      </c>
      <c r="W67" s="89">
        <f t="shared" si="7"/>
        <v>360</v>
      </c>
      <c r="X67" s="89">
        <f t="shared" si="8"/>
        <v>77952</v>
      </c>
      <c r="Y67" s="89">
        <f t="shared" si="3"/>
        <v>14352</v>
      </c>
      <c r="Z67" s="6"/>
    </row>
    <row r="68" spans="6:26">
      <c r="T68" s="12"/>
      <c r="U68" s="13" t="str">
        <f t="shared" si="5"/>
        <v>Missan</v>
      </c>
      <c r="V68" s="89">
        <f t="shared" si="6"/>
        <v>0</v>
      </c>
      <c r="W68" s="89">
        <f t="shared" si="7"/>
        <v>60</v>
      </c>
      <c r="X68" s="89">
        <f t="shared" si="8"/>
        <v>1074</v>
      </c>
      <c r="Y68" s="89">
        <f t="shared" si="3"/>
        <v>132</v>
      </c>
      <c r="Z68" s="6"/>
    </row>
    <row r="69" spans="6:26">
      <c r="T69" s="12"/>
      <c r="U69" s="13" t="str">
        <f t="shared" si="5"/>
        <v>Muthanna</v>
      </c>
      <c r="V69" s="89">
        <f t="shared" si="6"/>
        <v>0</v>
      </c>
      <c r="W69" s="89">
        <f t="shared" si="7"/>
        <v>36</v>
      </c>
      <c r="X69" s="89">
        <f t="shared" si="8"/>
        <v>654</v>
      </c>
      <c r="Y69" s="89">
        <f t="shared" si="3"/>
        <v>30</v>
      </c>
      <c r="Z69" s="6"/>
    </row>
    <row r="70" spans="6:26">
      <c r="G70" s="11"/>
      <c r="H70" s="11"/>
      <c r="T70" s="12"/>
      <c r="U70" s="13" t="str">
        <f t="shared" si="5"/>
        <v>Najaf</v>
      </c>
      <c r="V70" s="89">
        <f t="shared" si="6"/>
        <v>0</v>
      </c>
      <c r="W70" s="89">
        <f t="shared" si="7"/>
        <v>0</v>
      </c>
      <c r="X70" s="89">
        <f t="shared" si="8"/>
        <v>5538</v>
      </c>
      <c r="Y70" s="89">
        <f t="shared" si="3"/>
        <v>1956</v>
      </c>
      <c r="Z70" s="6"/>
    </row>
    <row r="71" spans="6:26">
      <c r="T71" s="12"/>
      <c r="U71" s="13" t="str">
        <f t="shared" si="5"/>
        <v>Ninewa</v>
      </c>
      <c r="V71" s="89">
        <f t="shared" si="6"/>
        <v>36985</v>
      </c>
      <c r="W71" s="89">
        <f t="shared" si="7"/>
        <v>10110</v>
      </c>
      <c r="X71" s="89">
        <f t="shared" si="8"/>
        <v>168882</v>
      </c>
      <c r="Y71" s="89">
        <f t="shared" si="3"/>
        <v>25530</v>
      </c>
      <c r="Z71" s="6"/>
    </row>
    <row r="72" spans="6:26">
      <c r="F72" s="12"/>
      <c r="I72" s="6"/>
      <c r="T72" s="12"/>
      <c r="U72" s="13" t="str">
        <f t="shared" si="5"/>
        <v>Qadissiya</v>
      </c>
      <c r="V72" s="89">
        <f t="shared" si="6"/>
        <v>0</v>
      </c>
      <c r="W72" s="89">
        <f t="shared" si="7"/>
        <v>0</v>
      </c>
      <c r="X72" s="89">
        <f t="shared" si="8"/>
        <v>2058</v>
      </c>
      <c r="Y72" s="89">
        <f t="shared" si="3"/>
        <v>414</v>
      </c>
      <c r="Z72" s="6"/>
    </row>
    <row r="73" spans="6:26">
      <c r="F73" s="12"/>
      <c r="I73" s="6"/>
      <c r="T73" s="12"/>
      <c r="U73" s="13" t="str">
        <f t="shared" si="5"/>
        <v>Salah al-Din</v>
      </c>
      <c r="V73" s="89">
        <f t="shared" si="6"/>
        <v>0</v>
      </c>
      <c r="W73" s="89">
        <f t="shared" si="7"/>
        <v>3114</v>
      </c>
      <c r="X73" s="89">
        <f t="shared" si="8"/>
        <v>29520</v>
      </c>
      <c r="Y73" s="89">
        <f t="shared" si="3"/>
        <v>18048</v>
      </c>
      <c r="Z73" s="6"/>
    </row>
    <row r="74" spans="6:26">
      <c r="F74" s="12"/>
      <c r="I74" s="6"/>
      <c r="T74" s="12"/>
      <c r="U74" s="13" t="str">
        <f t="shared" ref="U74:W76" si="9">A17</f>
        <v>Sulaymaniyah</v>
      </c>
      <c r="V74" s="89">
        <f>B17</f>
        <v>10495</v>
      </c>
      <c r="W74" s="89">
        <f t="shared" si="9"/>
        <v>12</v>
      </c>
      <c r="X74" s="89">
        <f t="shared" si="8"/>
        <v>117294</v>
      </c>
      <c r="Y74" s="89">
        <f t="shared" si="3"/>
        <v>4806</v>
      </c>
      <c r="Z74" s="6"/>
    </row>
    <row r="75" spans="6:26">
      <c r="F75" s="12"/>
      <c r="I75" s="6"/>
      <c r="T75" s="12"/>
      <c r="U75" s="13" t="str">
        <f t="shared" si="9"/>
        <v>Thi-Qar</v>
      </c>
      <c r="V75" s="89">
        <f>B18</f>
        <v>0</v>
      </c>
      <c r="W75" s="89">
        <f t="shared" si="9"/>
        <v>336</v>
      </c>
      <c r="X75" s="89">
        <f t="shared" si="8"/>
        <v>1242</v>
      </c>
      <c r="Y75" s="89">
        <f t="shared" si="3"/>
        <v>516</v>
      </c>
      <c r="Z75" s="6"/>
    </row>
    <row r="76" spans="6:26">
      <c r="F76" s="12"/>
      <c r="G76" s="10"/>
      <c r="H76" s="10"/>
      <c r="I76" s="6"/>
      <c r="T76" s="12"/>
      <c r="U76" s="13" t="str">
        <f t="shared" si="9"/>
        <v>Wassit</v>
      </c>
      <c r="V76" s="89">
        <f>B19</f>
        <v>0</v>
      </c>
      <c r="W76" s="89">
        <f t="shared" si="9"/>
        <v>48</v>
      </c>
      <c r="X76" s="89">
        <f t="shared" si="8"/>
        <v>4050</v>
      </c>
      <c r="Y76" s="89">
        <f t="shared" si="3"/>
        <v>168</v>
      </c>
      <c r="Z76" s="6"/>
    </row>
    <row r="77" spans="6:26">
      <c r="T77" s="12"/>
      <c r="U77" s="10"/>
      <c r="V77" s="10"/>
      <c r="W77" s="10"/>
      <c r="X77" s="10"/>
      <c r="Y77" s="10"/>
      <c r="Z77" s="6"/>
    </row>
  </sheetData>
  <conditionalFormatting sqref="B21:N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4" ma:contentTypeDescription="Create a new document." ma:contentTypeScope="" ma:versionID="d48d8214404eb9b18e03a04b5ad3134a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7097d91ace298805f684984c5ef23baa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lcf76f155ced4ddcb4097134ff3c332f xmlns="33dbb7a5-1eff-45ed-b0b7-44709205e663">
      <Terms xmlns="http://schemas.microsoft.com/office/infopath/2007/PartnerControls"/>
    </lcf76f155ced4ddcb4097134ff3c332f>
    <MediaLengthInSeconds xmlns="33dbb7a5-1eff-45ed-b0b7-44709205e663" xsi:nil="true"/>
    <SharedWithUsers xmlns="7a608658-c386-403c-bc1e-074cb10297ec">
      <UserInfo>
        <DisplayName/>
        <AccountId xsi:nil="true"/>
        <AccountType/>
      </UserInfo>
    </SharedWithUsers>
    <Items xmlns="33dbb7a5-1eff-45ed-b0b7-44709205e6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D02421-4DF5-49E4-B24F-C9CA16950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bb7a5-1eff-45ed-b0b7-44709205e663"/>
    <ds:schemaRef ds:uri="7a608658-c386-403c-bc1e-074cb1029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42E1FC-8BF8-4FA5-8B5A-864D35C1CDB1}">
  <ds:schemaRefs>
    <ds:schemaRef ds:uri="http://schemas.microsoft.com/office/2006/metadata/properties"/>
    <ds:schemaRef ds:uri="http://schemas.microsoft.com/office/infopath/2007/PartnerControls"/>
    <ds:schemaRef ds:uri="7a608658-c386-403c-bc1e-074cb10297ec"/>
    <ds:schemaRef ds:uri="33dbb7a5-1eff-45ed-b0b7-44709205e663"/>
  </ds:schemaRefs>
</ds:datastoreItem>
</file>

<file path=customXml/itemProps3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Round 130</vt:lpstr>
      <vt:lpstr>Summary</vt:lpstr>
      <vt:lpstr>Dataset Admin2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CHAWSHEEN Dwen</dc:creator>
  <cp:lastModifiedBy>JLILATI Nour</cp:lastModifiedBy>
  <cp:lastPrinted>2019-09-09T14:15:53Z</cp:lastPrinted>
  <dcterms:created xsi:type="dcterms:W3CDTF">2019-06-27T12:18:25Z</dcterms:created>
  <dcterms:modified xsi:type="dcterms:W3CDTF">2023-09-29T12:16:20Z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0x0101001BA0496DA6D1FD4294B6F3C9AEBFBC51</vt:lpwstr>
  </property>
  <property fmtid="{D5CDD505-2E9C-101B-9397-08002B2CF9AE}" pid="10" name="Order">
    <vt:r8>359589400</vt:r8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