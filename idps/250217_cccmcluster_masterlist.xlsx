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0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zgabebe\Desktop\2025\HDX\"/>
    </mc:Choice>
  </mc:AlternateContent>
  <xr:revisionPtr revIDLastSave="0" documentId="13_ncr:1_{C8FA61ED-02DB-42A8-B03D-62A30BC4D52E}" xr6:coauthVersionLast="47" xr6:coauthVersionMax="47" xr10:uidLastSave="{00000000-0000-0000-0000-000000000000}"/>
  <bookViews>
    <workbookView xWindow="28680" yWindow="-120" windowWidth="29040" windowHeight="15990" tabRatio="815" xr2:uid="{A83ABEC3-B8B3-E849-B91C-5F4628833149}"/>
  </bookViews>
  <sheets>
    <sheet name="All_Managed" sheetId="61" r:id="rId1"/>
    <sheet name="Community Resource Centers" sheetId="62" r:id="rId2"/>
    <sheet name="ANE - Q" sheetId="53" state="hidden" r:id="rId3"/>
    <sheet name="CRDO - Q" sheetId="54" state="hidden" r:id="rId4"/>
    <sheet name="DEC - Q" sheetId="55" state="hidden" r:id="rId5"/>
    <sheet name="Gurmuu - Q" sheetId="56" state="hidden" r:id="rId6"/>
    <sheet name="Gurmuu" sheetId="50" state="hidden" r:id="rId7"/>
    <sheet name="IOM -Q" sheetId="57" state="hidden" r:id="rId8"/>
    <sheet name="OSSHD - Q" sheetId="58" state="hidden" r:id="rId9"/>
    <sheet name="PAD - Q" sheetId="59" state="hidden" r:id="rId10"/>
    <sheet name="PAD" sheetId="21" state="hidden" r:id="rId11"/>
    <sheet name="UNHCR - Q" sheetId="60" state="hidden" r:id="rId12"/>
  </sheets>
  <definedNames>
    <definedName name="_xlnm._FilterDatabase" localSheetId="10" hidden="1">PAD!$A$14:$AA$15</definedName>
    <definedName name="ExternalData_1" localSheetId="0" hidden="1">All_Managed!$A$1:$Z$73</definedName>
    <definedName name="ExternalData_1" localSheetId="2" hidden="1">'ANE - Q'!$A$1:$AB$21</definedName>
    <definedName name="ExternalData_1" localSheetId="1" hidden="1">'Community Resource Centers'!$A$1:$X$12</definedName>
    <definedName name="ExternalData_1" localSheetId="3" hidden="1">'CRDO - Q'!$A$1:$AC$2</definedName>
    <definedName name="ExternalData_1" localSheetId="4" hidden="1">'DEC - Q'!$A$1:$AA$21</definedName>
    <definedName name="ExternalData_1" localSheetId="5" hidden="1">'Gurmuu - Q'!$A$1:$AB$5</definedName>
    <definedName name="ExternalData_1" localSheetId="7" hidden="1">'IOM -Q'!$A$1:$AB$33</definedName>
    <definedName name="ExternalData_1" localSheetId="8" hidden="1">'OSSHD - Q'!$A$1:$AC$28</definedName>
    <definedName name="ExternalData_1" localSheetId="9" hidden="1">'PAD - Q'!$A$1:$AC$2</definedName>
    <definedName name="ExternalData_1" localSheetId="11" hidden="1">'UNHCR - Q'!$A$1:$AC$5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BCE61B-43A4-4159-910D-77B5B75AADCD}" name="Connection" type="104" refreshedVersion="0" background="1">
    <extLst>
      <ext xmlns:x15="http://schemas.microsoft.com/office/spreadsheetml/2010/11/main" uri="{DE250136-89BD-433C-8126-D09CA5730AF9}">
        <x15:connection id="Range"/>
      </ext>
    </extLst>
  </connection>
  <connection id="2" xr16:uid="{FABCF684-2662-4E3B-B4F1-E32042D50436}" keepAlive="1" name="Query - All_Managed" description="Connection to the 'All_Managed' query in the workbook." type="5" refreshedVersion="8" background="1" saveData="1">
    <dbPr connection="Provider=Microsoft.Mashup.OleDb.1;Data Source=$Workbook$;Location=All_Managed;Extended Properties=&quot;&quot;" command="SELECT * FROM [All_Managed]"/>
  </connection>
  <connection id="3" xr16:uid="{82A21342-F152-4C95-9576-5F8CA082B85B}" keepAlive="1" name="Query - All_Managed (2)" description="Connection to the 'All_Managed (2)' query in the workbook." type="5" refreshedVersion="8" background="1" saveData="1">
    <dbPr connection="Provider=Microsoft.Mashup.OleDb.1;Data Source=$Workbook$;Location=&quot;All_Managed (2)&quot;;Extended Properties=&quot;&quot;" command="SELECT * FROM [All_Managed (2)]"/>
  </connection>
  <connection id="4" xr16:uid="{5D518A8D-FAC0-4A1C-B785-EFF97449D61D}" keepAlive="1" name="Query - All_Managed (3)" description="Connection to the 'All_Managed (3)' query in the workbook." type="5" refreshedVersion="8" background="1" saveData="1">
    <dbPr connection="Provider=Microsoft.Mashup.OleDb.1;Data Source=$Workbook$;Location=&quot;All_Managed (3)&quot;;Extended Properties=&quot;&quot;" command="SELECT * FROM [All_Managed (3)]"/>
  </connection>
  <connection id="5" xr16:uid="{EC222CCF-C3D4-4C57-A0F9-AC30187B08A3}" keepAlive="1" name="Query - ANE" description="Connection to the 'ANE' query in the workbook." type="5" refreshedVersion="8" background="1" saveData="1">
    <dbPr connection="Provider=Microsoft.Mashup.OleDb.1;Data Source=$Workbook$;Location=ANE;Extended Properties=&quot;&quot;" command="SELECT * FROM [ANE]"/>
  </connection>
  <connection id="6" xr16:uid="{84B65E4F-7CAE-466B-A3D2-9C084D414DB8}" keepAlive="1" name="Query - CRDO" description="Connection to the 'CRDO' query in the workbook." type="5" refreshedVersion="8" background="1" saveData="1">
    <dbPr connection="Provider=Microsoft.Mashup.OleDb.1;Data Source=$Workbook$;Location=CRDO;Extended Properties=&quot;&quot;" command="SELECT * FROM [CRDO]"/>
  </connection>
  <connection id="7" xr16:uid="{29340E9B-CAE2-4851-BA7D-07080147D5F7}" keepAlive="1" name="Query - DEC" description="Connection to the 'DEC' query in the workbook." type="5" refreshedVersion="8" background="1" saveData="1">
    <dbPr connection="Provider=Microsoft.Mashup.OleDb.1;Data Source=$Workbook$;Location=DEC;Extended Properties=&quot;&quot;" command="SELECT * FROM [DEC]"/>
  </connection>
  <connection id="8" xr16:uid="{C281A8E5-3625-456B-9A9E-7AE3DF2CCED9}" keepAlive="1" name="Query - Gurmuu" description="Connection to the 'Gurmuu' query in the workbook." type="5" refreshedVersion="8" background="1" saveData="1">
    <dbPr connection="Provider=Microsoft.Mashup.OleDb.1;Data Source=$Workbook$;Location=Gurmuu;Extended Properties=&quot;&quot;" command="SELECT * FROM [Gurmuu]"/>
  </connection>
  <connection id="9" xr16:uid="{8A7D8F02-C442-4857-907C-7D4191C4A749}" keepAlive="1" name="Query - IOM" description="Connection to the 'IOM' query in the workbook." type="5" refreshedVersion="8" background="1" saveData="1">
    <dbPr connection="Provider=Microsoft.Mashup.OleDb.1;Data Source=$Workbook$;Location=IOM;Extended Properties=&quot;&quot;" command="SELECT * FROM [IOM]"/>
  </connection>
  <connection id="10" xr16:uid="{91C8F43A-34EC-4943-912F-A3E8D4BE7E94}" keepAlive="1" name="Query - OSSHD" description="Connection to the 'OSSHD' query in the workbook." type="5" refreshedVersion="8" background="1" saveData="1">
    <dbPr connection="Provider=Microsoft.Mashup.OleDb.1;Data Source=$Workbook$;Location=OSSHD;Extended Properties=&quot;&quot;" command="SELECT * FROM [OSSHD]"/>
  </connection>
  <connection id="11" xr16:uid="{0FAB20B7-C78F-41F8-AC21-B3B207CFDE29}" keepAlive="1" name="Query - PAD" description="Connection to the 'PAD' query in the workbook." type="5" refreshedVersion="8" background="1" saveData="1">
    <dbPr connection="Provider=Microsoft.Mashup.OleDb.1;Data Source=$Workbook$;Location=PAD;Extended Properties=&quot;&quot;" command="SELECT * FROM [PAD]"/>
  </connection>
  <connection id="12" xr16:uid="{872EFE4A-61C8-499F-98CF-42DC014C8000}" keepAlive="1" name="Query - UNHCR" description="Connection to the 'UNHCR' query in the workbook." type="5" refreshedVersion="8" background="1" saveData="1">
    <dbPr connection="Provider=Microsoft.Mashup.OleDb.1;Data Source=$Workbook$;Location=UNHCR;Extended Properties=&quot;&quot;" command="SELECT * FROM [UNHCR]"/>
  </connection>
  <connection id="13" xr16:uid="{C4E25169-B6DE-40B4-98B5-5D831F7E73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<sst xmlns="http://schemas.openxmlformats.org/spreadsheetml/2006/main" count="3884" uniqueCount="713">
  <si>
    <t>CCCM Site ID</t>
  </si>
  <si>
    <t>CCCM Sited ID
New</t>
  </si>
  <si>
    <t>DTM Site ID</t>
  </si>
  <si>
    <t>Site Name</t>
  </si>
  <si>
    <t>Alternate Site Name</t>
  </si>
  <si>
    <t>Site Status</t>
  </si>
  <si>
    <t>Site Open Date</t>
  </si>
  <si>
    <t>Settlement Type</t>
  </si>
  <si>
    <t>Region</t>
  </si>
  <si>
    <t>OCHA_Adm1_PCODE</t>
  </si>
  <si>
    <t>Zone</t>
  </si>
  <si>
    <t>OCHA_ADM2_PCODE</t>
  </si>
  <si>
    <t>Woreda</t>
  </si>
  <si>
    <t>OCHA_ADM3_PCODE</t>
  </si>
  <si>
    <t>Kebele</t>
  </si>
  <si>
    <t>AOR</t>
  </si>
  <si>
    <t>Lat</t>
  </si>
  <si>
    <t>Long</t>
  </si>
  <si>
    <t>Have Access?</t>
  </si>
  <si>
    <t>CCCM Managed</t>
  </si>
  <si>
    <t>CCCM Approach</t>
  </si>
  <si>
    <t>CCCM Agency-2023</t>
  </si>
  <si>
    <t>CAMP MANAGER</t>
  </si>
  <si>
    <t>MOBILE</t>
  </si>
  <si>
    <t>AM-0004</t>
  </si>
  <si>
    <t>AM166</t>
  </si>
  <si>
    <t>Abuarie</t>
  </si>
  <si>
    <t>Open</t>
  </si>
  <si>
    <t>Collective Center</t>
  </si>
  <si>
    <t>Amhara</t>
  </si>
  <si>
    <t>ET03</t>
  </si>
  <si>
    <t>North Wello</t>
  </si>
  <si>
    <t>ET0303</t>
  </si>
  <si>
    <t>Raya Kobo</t>
  </si>
  <si>
    <t>ET030302</t>
  </si>
  <si>
    <t>Yes, accessible by Vehicle</t>
  </si>
  <si>
    <t>Yes</t>
  </si>
  <si>
    <t>DEC</t>
  </si>
  <si>
    <t>AM-0018</t>
  </si>
  <si>
    <t>Bakelo</t>
  </si>
  <si>
    <t>North Shewa (AM)</t>
  </si>
  <si>
    <t>ET0305</t>
  </si>
  <si>
    <t>ET030520</t>
  </si>
  <si>
    <t>DEC/UNHCR</t>
  </si>
  <si>
    <t>Eyosias Assefa</t>
  </si>
  <si>
    <t>AM-0024</t>
  </si>
  <si>
    <t>AM816</t>
  </si>
  <si>
    <t>China Center IDP Site</t>
  </si>
  <si>
    <t>AM-0025</t>
  </si>
  <si>
    <t>AM230</t>
  </si>
  <si>
    <t>College</t>
  </si>
  <si>
    <t>ET030309</t>
  </si>
  <si>
    <t>Kebele 06</t>
  </si>
  <si>
    <t>Planned Camp/Site</t>
  </si>
  <si>
    <t>IOM</t>
  </si>
  <si>
    <t>AM-0029</t>
  </si>
  <si>
    <t>AM853</t>
  </si>
  <si>
    <t>Debat</t>
  </si>
  <si>
    <t>South Wello</t>
  </si>
  <si>
    <t>ET0304</t>
  </si>
  <si>
    <t>Mekane Selame</t>
  </si>
  <si>
    <t>ET030498</t>
  </si>
  <si>
    <t>Musa Tsegaw</t>
  </si>
  <si>
    <t>AM-0041</t>
  </si>
  <si>
    <t>AM590</t>
  </si>
  <si>
    <t>Gerba Dega China Champ</t>
  </si>
  <si>
    <t>China Camp / Kalu Camp</t>
  </si>
  <si>
    <t>Kalu</t>
  </si>
  <si>
    <t>ET030407</t>
  </si>
  <si>
    <t>AM-0042</t>
  </si>
  <si>
    <t>AM380</t>
  </si>
  <si>
    <t>Gibrina Maekel</t>
  </si>
  <si>
    <t>Kebele 05</t>
  </si>
  <si>
    <t>AM-0044</t>
  </si>
  <si>
    <t>AM231</t>
  </si>
  <si>
    <t>Girana</t>
  </si>
  <si>
    <t>Habru</t>
  </si>
  <si>
    <t>ET030308</t>
  </si>
  <si>
    <t>AM-0051</t>
  </si>
  <si>
    <t>AM978</t>
  </si>
  <si>
    <t>Jari 2</t>
  </si>
  <si>
    <t>Turkish Camp / Jari Kutir 2</t>
  </si>
  <si>
    <t>Thehulederie</t>
  </si>
  <si>
    <t>ET030405</t>
  </si>
  <si>
    <t>AM-0052</t>
  </si>
  <si>
    <t>AM391</t>
  </si>
  <si>
    <t>Jari Camp</t>
  </si>
  <si>
    <t>AM-0053</t>
  </si>
  <si>
    <t>AM909</t>
  </si>
  <si>
    <t>Jarra IDP Site</t>
  </si>
  <si>
    <t>Dire Roka</t>
  </si>
  <si>
    <t>Adem</t>
  </si>
  <si>
    <t>AM-0071</t>
  </si>
  <si>
    <t>AM594</t>
  </si>
  <si>
    <t>Kutaber Camp</t>
  </si>
  <si>
    <t>Kutaber</t>
  </si>
  <si>
    <t>ET030403</t>
  </si>
  <si>
    <t>AM-0072</t>
  </si>
  <si>
    <t>AM591</t>
  </si>
  <si>
    <t>Legemara Camp</t>
  </si>
  <si>
    <t>Kebit tera</t>
  </si>
  <si>
    <t>Kebele 04</t>
  </si>
  <si>
    <t>AM-0075</t>
  </si>
  <si>
    <t>Masha Kebele 1</t>
  </si>
  <si>
    <t>Mekdela</t>
  </si>
  <si>
    <t>ET030421</t>
  </si>
  <si>
    <t>Argoba</t>
  </si>
  <si>
    <t>ET030401</t>
  </si>
  <si>
    <t>01</t>
  </si>
  <si>
    <t>PAD</t>
  </si>
  <si>
    <t>AM-0078</t>
  </si>
  <si>
    <t>AM251</t>
  </si>
  <si>
    <t>Medina IDP Site</t>
  </si>
  <si>
    <t>Argoba Medina Camp</t>
  </si>
  <si>
    <t>AM-0079</t>
  </si>
  <si>
    <t>AM289</t>
  </si>
  <si>
    <t>Mekane Eyesus</t>
  </si>
  <si>
    <t>AM-0106</t>
  </si>
  <si>
    <t>Timhert Tsehfet Bet Camp</t>
  </si>
  <si>
    <t>AM-0120</t>
  </si>
  <si>
    <t>AM885</t>
  </si>
  <si>
    <t>Woyneshet Paper Factory IDP Site</t>
  </si>
  <si>
    <t>Weyinshet Fabrica</t>
  </si>
  <si>
    <t>Oromia</t>
  </si>
  <si>
    <t>Kebele 02</t>
  </si>
  <si>
    <t>03</t>
  </si>
  <si>
    <t/>
  </si>
  <si>
    <t>SO-0493</t>
  </si>
  <si>
    <t>SO258</t>
  </si>
  <si>
    <t>Qoliji</t>
  </si>
  <si>
    <t>Somali</t>
  </si>
  <si>
    <t>ET05</t>
  </si>
  <si>
    <t>Fafan</t>
  </si>
  <si>
    <t>ET0502</t>
  </si>
  <si>
    <t>Babile (SM)</t>
  </si>
  <si>
    <t>ET050203</t>
  </si>
  <si>
    <t>Anod</t>
  </si>
  <si>
    <t>SO-0494</t>
  </si>
  <si>
    <t>SO587</t>
  </si>
  <si>
    <t>Qoliji 2</t>
  </si>
  <si>
    <t>Tigray</t>
  </si>
  <si>
    <t>ET01</t>
  </si>
  <si>
    <t>Central</t>
  </si>
  <si>
    <t>ET0102</t>
  </si>
  <si>
    <t>ET010211</t>
  </si>
  <si>
    <t>Mekelle</t>
  </si>
  <si>
    <t>North Western</t>
  </si>
  <si>
    <t>ET0101</t>
  </si>
  <si>
    <t>Sheraro town</t>
  </si>
  <si>
    <t>ET010107</t>
  </si>
  <si>
    <t>ANE/UNHCR</t>
  </si>
  <si>
    <t>TI-0007</t>
  </si>
  <si>
    <t>TG-0007</t>
  </si>
  <si>
    <t>TG556</t>
  </si>
  <si>
    <t>Abiyiadi TVET College</t>
  </si>
  <si>
    <t>May Maeado / Abiyiadi TVET College-Adebay / May Weyni-1/Abiyadi TVET College - Adi Goshu</t>
  </si>
  <si>
    <t>Abi Adi</t>
  </si>
  <si>
    <t>OSSHD/UNHCR</t>
  </si>
  <si>
    <t>TI-0008</t>
  </si>
  <si>
    <t>TG-0008</t>
  </si>
  <si>
    <t>TG419</t>
  </si>
  <si>
    <t>Abreha We'atsbha Elementary School</t>
  </si>
  <si>
    <t>ET010213</t>
  </si>
  <si>
    <t>02</t>
  </si>
  <si>
    <t>TI-0009</t>
  </si>
  <si>
    <t>TG-0009</t>
  </si>
  <si>
    <t>TG1048</t>
  </si>
  <si>
    <t>Tahtay Adiyabo</t>
  </si>
  <si>
    <t>ET010101</t>
  </si>
  <si>
    <t>Gebremichael Gebreanenia</t>
  </si>
  <si>
    <t>TI-0012</t>
  </si>
  <si>
    <t>TG-0012</t>
  </si>
  <si>
    <t>TG567</t>
  </si>
  <si>
    <t>Adi Daero Elementary School</t>
  </si>
  <si>
    <t>Adi Daero</t>
  </si>
  <si>
    <t>ET010111</t>
  </si>
  <si>
    <t>Zone - 4</t>
  </si>
  <si>
    <t>Shire</t>
  </si>
  <si>
    <t>TI-0016</t>
  </si>
  <si>
    <t>TG-0016</t>
  </si>
  <si>
    <t>TG912</t>
  </si>
  <si>
    <t>Adi Hawsi Elementary School</t>
  </si>
  <si>
    <t>Adhawsi Primary School</t>
  </si>
  <si>
    <t>ET0107</t>
  </si>
  <si>
    <t>Adi Haki Sub City</t>
  </si>
  <si>
    <t>ET010701</t>
  </si>
  <si>
    <t>TI-0018</t>
  </si>
  <si>
    <t>TG-0018</t>
  </si>
  <si>
    <t>TG512</t>
  </si>
  <si>
    <t>Adi Kentibay Elementary School</t>
  </si>
  <si>
    <t>ET010108</t>
  </si>
  <si>
    <t>04</t>
  </si>
  <si>
    <t>TI-0019</t>
  </si>
  <si>
    <t>TG-0019</t>
  </si>
  <si>
    <t>TG738</t>
  </si>
  <si>
    <t>Adi Mahameday Full Elementary  School</t>
  </si>
  <si>
    <t>Asgede</t>
  </si>
  <si>
    <t>ET010105</t>
  </si>
  <si>
    <t>Adi Mahameday</t>
  </si>
  <si>
    <t>UNHCR</t>
  </si>
  <si>
    <t>Seyemti Adyabo</t>
  </si>
  <si>
    <t>ET010110</t>
  </si>
  <si>
    <t>Adi-Nebried</t>
  </si>
  <si>
    <t>Reopen</t>
  </si>
  <si>
    <t>TI-0024</t>
  </si>
  <si>
    <t>TG-0024</t>
  </si>
  <si>
    <t>TG458</t>
  </si>
  <si>
    <t>Adi Wenfito Elementary school</t>
  </si>
  <si>
    <t>Collective center</t>
  </si>
  <si>
    <t>TI-0025</t>
  </si>
  <si>
    <t>TG-0025</t>
  </si>
  <si>
    <t>TG447</t>
  </si>
  <si>
    <t>Adiha Secondary school</t>
  </si>
  <si>
    <t>Adiha</t>
  </si>
  <si>
    <t>TI-0030</t>
  </si>
  <si>
    <t>TG-0030</t>
  </si>
  <si>
    <t>TG861</t>
  </si>
  <si>
    <t>Adwa Industrial Zone (AIZ)</t>
  </si>
  <si>
    <t>Adwa</t>
  </si>
  <si>
    <t>ET010204</t>
  </si>
  <si>
    <t>Bet Yohannes</t>
  </si>
  <si>
    <t>TI-0034</t>
  </si>
  <si>
    <t>TG-0034</t>
  </si>
  <si>
    <t>TG423</t>
  </si>
  <si>
    <t>Aksum Preparatory School</t>
  </si>
  <si>
    <t>6</t>
  </si>
  <si>
    <t>Southern</t>
  </si>
  <si>
    <t>ET0104</t>
  </si>
  <si>
    <t>ET010409</t>
  </si>
  <si>
    <t>TI-0037</t>
  </si>
  <si>
    <t>TG-0037</t>
  </si>
  <si>
    <t>TG564</t>
  </si>
  <si>
    <t xml:space="preserve">Alene Secondary School </t>
  </si>
  <si>
    <t>07</t>
  </si>
  <si>
    <t>TI-0039</t>
  </si>
  <si>
    <t>TG-0039</t>
  </si>
  <si>
    <t>Animal Shade</t>
  </si>
  <si>
    <t>TI-0041</t>
  </si>
  <si>
    <t>TG-0041</t>
  </si>
  <si>
    <t>TG420</t>
  </si>
  <si>
    <t>Araya Kahsu Health  Science College</t>
  </si>
  <si>
    <t>Kindeya Arya Kahsu Nurse School</t>
  </si>
  <si>
    <t>05</t>
  </si>
  <si>
    <t>TI-0043</t>
  </si>
  <si>
    <t>TG-0043</t>
  </si>
  <si>
    <t>TG459</t>
  </si>
  <si>
    <t>Arra Zuria 01</t>
  </si>
  <si>
    <t>Special Force Hall</t>
  </si>
  <si>
    <t>Eden fitsum</t>
  </si>
  <si>
    <t>0949753462</t>
  </si>
  <si>
    <t>Ayder Sub City</t>
  </si>
  <si>
    <t>Kuhilen</t>
  </si>
  <si>
    <t>TI-0053</t>
  </si>
  <si>
    <t>TG-0053</t>
  </si>
  <si>
    <t>TG511</t>
  </si>
  <si>
    <t>BGI Elementary School</t>
  </si>
  <si>
    <t>Seder</t>
  </si>
  <si>
    <t>TI-0055</t>
  </si>
  <si>
    <t>TG-0055</t>
  </si>
  <si>
    <t>TG839</t>
  </si>
  <si>
    <t>Comission</t>
  </si>
  <si>
    <t>Commission</t>
  </si>
  <si>
    <t>Eastern</t>
  </si>
  <si>
    <t>ET0103</t>
  </si>
  <si>
    <t>Adigrat Town</t>
  </si>
  <si>
    <t>ET010308</t>
  </si>
  <si>
    <t>Adigrat</t>
  </si>
  <si>
    <t>Shishay Hailu</t>
  </si>
  <si>
    <t>TI-0058</t>
  </si>
  <si>
    <t>TG-0058</t>
  </si>
  <si>
    <t>TG460</t>
  </si>
  <si>
    <t>Dehab Tesfay Women's Tranning Center</t>
  </si>
  <si>
    <t>TI-0062</t>
  </si>
  <si>
    <t>TG-0062</t>
  </si>
  <si>
    <t>TG476</t>
  </si>
  <si>
    <t>Edaga Hamus Comprehensive Secondary School</t>
  </si>
  <si>
    <t>Edagahamus High school</t>
  </si>
  <si>
    <t>ET010311</t>
  </si>
  <si>
    <t>TI-0067</t>
  </si>
  <si>
    <t>TG-0067</t>
  </si>
  <si>
    <t>TG352</t>
  </si>
  <si>
    <t>Embadanso Elementary school</t>
  </si>
  <si>
    <t>Merahawi Abadi</t>
  </si>
  <si>
    <t>0936890621</t>
  </si>
  <si>
    <t>TI-0071</t>
  </si>
  <si>
    <t>TG-0071</t>
  </si>
  <si>
    <t>TG417</t>
  </si>
  <si>
    <t>Enda Tsion</t>
  </si>
  <si>
    <t>Dr Tsegay Secondary School/Enda Tsion Elementary School</t>
  </si>
  <si>
    <t>TI-0072</t>
  </si>
  <si>
    <t>TG-0072</t>
  </si>
  <si>
    <t>TG566</t>
  </si>
  <si>
    <t>Endabaguna Screening Center 1 &amp; 2</t>
  </si>
  <si>
    <t>ET010114</t>
  </si>
  <si>
    <t>TI-0078</t>
  </si>
  <si>
    <t>TG-0078</t>
  </si>
  <si>
    <t>TG500</t>
  </si>
  <si>
    <t>Ethnographic Museum of Kunama</t>
  </si>
  <si>
    <t>Museum Kunama</t>
  </si>
  <si>
    <t>Mussie</t>
  </si>
  <si>
    <t>TI-0083</t>
  </si>
  <si>
    <t>TG-0083</t>
  </si>
  <si>
    <t>TG430</t>
  </si>
  <si>
    <t>First Menlik Secondary School</t>
  </si>
  <si>
    <t>Kedamawi Menelik Secondary School</t>
  </si>
  <si>
    <t>Nigiste Saba</t>
  </si>
  <si>
    <t>Axum</t>
  </si>
  <si>
    <t>TI-0084</t>
  </si>
  <si>
    <t>TG-0084</t>
  </si>
  <si>
    <t>TG598</t>
  </si>
  <si>
    <t>Five Angels</t>
  </si>
  <si>
    <t>5 Angels</t>
  </si>
  <si>
    <t>TI-0087</t>
  </si>
  <si>
    <t>TG-0087</t>
  </si>
  <si>
    <t>TG457</t>
  </si>
  <si>
    <t>Fre Swuat Secondary School</t>
  </si>
  <si>
    <t>TI-0092</t>
  </si>
  <si>
    <t>TG-0092</t>
  </si>
  <si>
    <t>TG578</t>
  </si>
  <si>
    <t>Guna Poultry Farm</t>
  </si>
  <si>
    <t>TI-0093</t>
  </si>
  <si>
    <t>TG-0093</t>
  </si>
  <si>
    <t>TG452</t>
  </si>
  <si>
    <t>Hadnet General Secondary School</t>
  </si>
  <si>
    <t>18</t>
  </si>
  <si>
    <t>TI-0097</t>
  </si>
  <si>
    <t>TG-0097</t>
  </si>
  <si>
    <t>TG391</t>
  </si>
  <si>
    <t>Hawelti Secondary School</t>
  </si>
  <si>
    <t>Fre-Abiyot Secondary School</t>
  </si>
  <si>
    <t>Selam</t>
  </si>
  <si>
    <t>TI-0100</t>
  </si>
  <si>
    <t>TG-0100</t>
  </si>
  <si>
    <t>TG456</t>
  </si>
  <si>
    <t>Hibret Elementary School</t>
  </si>
  <si>
    <t>Hibret IDP Sites</t>
  </si>
  <si>
    <t>0963509161</t>
  </si>
  <si>
    <t>TI-0102</t>
  </si>
  <si>
    <t>TG-0102</t>
  </si>
  <si>
    <t>TG720</t>
  </si>
  <si>
    <t>HOP Temezabelti Maekel</t>
  </si>
  <si>
    <t>HOP IDP Center</t>
  </si>
  <si>
    <t>17</t>
  </si>
  <si>
    <t>Sheraro</t>
  </si>
  <si>
    <t>TI-0104</t>
  </si>
  <si>
    <t>TG-0104</t>
  </si>
  <si>
    <t>TG428</t>
  </si>
  <si>
    <t>Kaleb Secondary School</t>
  </si>
  <si>
    <t>TI-0105</t>
  </si>
  <si>
    <t>TG-0105</t>
  </si>
  <si>
    <t>TG1051</t>
  </si>
  <si>
    <t>Ketema Hitsatse</t>
  </si>
  <si>
    <t>Hitsat IDPs / Hitsatse Refugee Camp</t>
  </si>
  <si>
    <t>TI-0111</t>
  </si>
  <si>
    <t>TG-0111</t>
  </si>
  <si>
    <t>TG450</t>
  </si>
  <si>
    <t>Lekatit 11 Elementary School</t>
  </si>
  <si>
    <t>Semen Sub City</t>
  </si>
  <si>
    <t>Lekatit</t>
  </si>
  <si>
    <t>TI-0112</t>
  </si>
  <si>
    <t>TG-0112</t>
  </si>
  <si>
    <t>TG448</t>
  </si>
  <si>
    <t>Lekatit 23 Secondary School</t>
  </si>
  <si>
    <t>Marta</t>
  </si>
  <si>
    <t>TI-0114</t>
  </si>
  <si>
    <t>TG-0114</t>
  </si>
  <si>
    <t>TG403</t>
  </si>
  <si>
    <t>Lisanu Elementary School</t>
  </si>
  <si>
    <t>03 Kebele</t>
  </si>
  <si>
    <t>Planned camp/site</t>
  </si>
  <si>
    <t>TI-0121</t>
  </si>
  <si>
    <t>TG-0121</t>
  </si>
  <si>
    <t>TG601</t>
  </si>
  <si>
    <t>May Gilgalot Ketema</t>
  </si>
  <si>
    <t>Maygebel/Water Service/ Water Supply</t>
  </si>
  <si>
    <t>TI-0122</t>
  </si>
  <si>
    <t>TG-0122</t>
  </si>
  <si>
    <t>TG156</t>
  </si>
  <si>
    <t>May Tsedo IDP Site</t>
  </si>
  <si>
    <t>Quiha IDP Site / Quiha</t>
  </si>
  <si>
    <t>Quiha</t>
  </si>
  <si>
    <t>TI-0123</t>
  </si>
  <si>
    <t>TG-0123</t>
  </si>
  <si>
    <t>TG726</t>
  </si>
  <si>
    <t>Mayhanse Elementary school</t>
  </si>
  <si>
    <t>Mayhanse</t>
  </si>
  <si>
    <t>TI-0126</t>
  </si>
  <si>
    <t>TG-0126</t>
  </si>
  <si>
    <t>TG434</t>
  </si>
  <si>
    <t>Meda Agame Primary School</t>
  </si>
  <si>
    <t>TI-0129</t>
  </si>
  <si>
    <t>TG-0129</t>
  </si>
  <si>
    <t>TG451</t>
  </si>
  <si>
    <t>Mekelle Health Center</t>
  </si>
  <si>
    <t>TI-0130</t>
  </si>
  <si>
    <t>TG-0130</t>
  </si>
  <si>
    <t>TG402</t>
  </si>
  <si>
    <t>Meles Zenawi Preparatory School</t>
  </si>
  <si>
    <t>TI-0131</t>
  </si>
  <si>
    <t>TG-0131</t>
  </si>
  <si>
    <t>TG492</t>
  </si>
  <si>
    <t>Mesebo Secondary School</t>
  </si>
  <si>
    <t>Messebo</t>
  </si>
  <si>
    <t>TI-0133</t>
  </si>
  <si>
    <t>TG-0133</t>
  </si>
  <si>
    <t>TG625</t>
  </si>
  <si>
    <t>Midre Genet Elders Care Center</t>
  </si>
  <si>
    <t>Midregenet IDP</t>
  </si>
  <si>
    <t>Hareya</t>
  </si>
  <si>
    <t>TI-0134</t>
  </si>
  <si>
    <t>TG-0134</t>
  </si>
  <si>
    <t>TG508</t>
  </si>
  <si>
    <t>Midregenet Secondary School</t>
  </si>
  <si>
    <t>Midregenet Primary School</t>
  </si>
  <si>
    <t>TI-0136</t>
  </si>
  <si>
    <t>TG-0136</t>
  </si>
  <si>
    <t>TG610</t>
  </si>
  <si>
    <t>Model  Kindergarden</t>
  </si>
  <si>
    <t>TI-0137</t>
  </si>
  <si>
    <t>TG-0137</t>
  </si>
  <si>
    <t>TG562</t>
  </si>
  <si>
    <t>Momona Secondary School</t>
  </si>
  <si>
    <t>Memona</t>
  </si>
  <si>
    <t>TI-0142</t>
  </si>
  <si>
    <t>TG-0142</t>
  </si>
  <si>
    <t>TG416</t>
  </si>
  <si>
    <t>Ngste Saba Secondary School</t>
  </si>
  <si>
    <t>Preparatory School</t>
  </si>
  <si>
    <t>TI-0143</t>
  </si>
  <si>
    <t>TG-0143</t>
  </si>
  <si>
    <t>TG410</t>
  </si>
  <si>
    <t>Ngste Saba Secondary School 1</t>
  </si>
  <si>
    <t>Korea Secondary School</t>
  </si>
  <si>
    <t>Kebele 07</t>
  </si>
  <si>
    <t>TI-0144</t>
  </si>
  <si>
    <t>TG-0144</t>
  </si>
  <si>
    <t>TG549</t>
  </si>
  <si>
    <t>Ngste Saba Secondary School 2</t>
  </si>
  <si>
    <t>Ngste Saba No 2 Elementary school</t>
  </si>
  <si>
    <t>06</t>
  </si>
  <si>
    <t>TI-0149</t>
  </si>
  <si>
    <t>TG-0149</t>
  </si>
  <si>
    <t>TG855</t>
  </si>
  <si>
    <t>Sebacare 4</t>
  </si>
  <si>
    <t>70 Kare</t>
  </si>
  <si>
    <t>Debregenet</t>
  </si>
  <si>
    <t>TI-0152</t>
  </si>
  <si>
    <t>TG-0152</t>
  </si>
  <si>
    <t>TG858</t>
  </si>
  <si>
    <t>Selekleka IDPs</t>
  </si>
  <si>
    <t>Selekleka Farmers Training Center</t>
  </si>
  <si>
    <t>ET010109</t>
  </si>
  <si>
    <t>TI-0153</t>
  </si>
  <si>
    <t>TG-0153</t>
  </si>
  <si>
    <t>TG504</t>
  </si>
  <si>
    <t>Semaetat Elementary School</t>
  </si>
  <si>
    <t>TI-0155</t>
  </si>
  <si>
    <t>TG-0155</t>
  </si>
  <si>
    <t>TG848</t>
  </si>
  <si>
    <t>Setit Humera IDP site</t>
  </si>
  <si>
    <t>Shade IDP Site / Manufacturing Shade</t>
  </si>
  <si>
    <t>TI-0157</t>
  </si>
  <si>
    <t>TG-0157</t>
  </si>
  <si>
    <t>TG608</t>
  </si>
  <si>
    <t>Shade Metal Work</t>
  </si>
  <si>
    <t>Industry Shade/Sheraro Shede 2</t>
  </si>
  <si>
    <t>TI-0158</t>
  </si>
  <si>
    <t>TG-0158</t>
  </si>
  <si>
    <t>TG507</t>
  </si>
  <si>
    <t>Sheraro High School</t>
  </si>
  <si>
    <t>Sheraro Secondary School / Sedr</t>
  </si>
  <si>
    <t>TI-0160</t>
  </si>
  <si>
    <t>TG-0160</t>
  </si>
  <si>
    <t>TG497</t>
  </si>
  <si>
    <t>Sheraro TVET</t>
  </si>
  <si>
    <t>TI-0161</t>
  </si>
  <si>
    <t>TG-0161</t>
  </si>
  <si>
    <t>TG509</t>
  </si>
  <si>
    <t>Shire Agricultural College</t>
  </si>
  <si>
    <t>Agricultural College</t>
  </si>
  <si>
    <t>TI-0162</t>
  </si>
  <si>
    <t>TG-0162</t>
  </si>
  <si>
    <t>TG351</t>
  </si>
  <si>
    <t>Shire General Secondary School</t>
  </si>
  <si>
    <t>High School</t>
  </si>
  <si>
    <t>0993846458</t>
  </si>
  <si>
    <t>TI-0163</t>
  </si>
  <si>
    <t>TG-0163</t>
  </si>
  <si>
    <t>TG510</t>
  </si>
  <si>
    <t>Shire Preparatory School</t>
  </si>
  <si>
    <t>TI-0166</t>
  </si>
  <si>
    <t>TG-0166</t>
  </si>
  <si>
    <t>TG605</t>
  </si>
  <si>
    <t>Taba Weyane Elementary school</t>
  </si>
  <si>
    <t>Taba Weyane Tsinat Primary School</t>
  </si>
  <si>
    <t>Kebele 03</t>
  </si>
  <si>
    <t>TI-0170</t>
  </si>
  <si>
    <t>TG-0170</t>
  </si>
  <si>
    <t>TG455</t>
  </si>
  <si>
    <t>Tsehaye Elementary School</t>
  </si>
  <si>
    <t>TI-0173</t>
  </si>
  <si>
    <t>TG-0173</t>
  </si>
  <si>
    <t>TG864</t>
  </si>
  <si>
    <t>UNMEE</t>
  </si>
  <si>
    <t>Old Airport</t>
  </si>
  <si>
    <t>TI-0175</t>
  </si>
  <si>
    <t>TG-0175</t>
  </si>
  <si>
    <t>TG412</t>
  </si>
  <si>
    <t>Wekma Elementary School</t>
  </si>
  <si>
    <t>Wowokma Elementary School</t>
  </si>
  <si>
    <t>Adwa Town</t>
  </si>
  <si>
    <t>ET010212</t>
  </si>
  <si>
    <t>TI-0178</t>
  </si>
  <si>
    <t>TG-0178</t>
  </si>
  <si>
    <t>TG513</t>
  </si>
  <si>
    <t>Wukar Dba Elementary School</t>
  </si>
  <si>
    <t>0978406585</t>
  </si>
  <si>
    <t>TI-0203</t>
  </si>
  <si>
    <t>TG-0203</t>
  </si>
  <si>
    <t>TG1062</t>
  </si>
  <si>
    <t>Endabaguna Reception Center</t>
  </si>
  <si>
    <t>Endabaguna</t>
  </si>
  <si>
    <t>TI-0204</t>
  </si>
  <si>
    <t>TG-0204</t>
  </si>
  <si>
    <t>TG1098</t>
  </si>
  <si>
    <t>Farmers Training Center IDP Site</t>
  </si>
  <si>
    <t>Adi Kahsu Farmers Training Centres</t>
  </si>
  <si>
    <t>AM-0131</t>
  </si>
  <si>
    <t>Mersa IDPs Camp</t>
  </si>
  <si>
    <t>AM-0134</t>
  </si>
  <si>
    <t>Lam Erbata</t>
  </si>
  <si>
    <t>ET02</t>
  </si>
  <si>
    <t>Jara</t>
  </si>
  <si>
    <t>ET030397</t>
  </si>
  <si>
    <t>Hadnet Sub City</t>
  </si>
  <si>
    <t>ET010705</t>
  </si>
  <si>
    <t>Hawelti Sub City</t>
  </si>
  <si>
    <t>ET010704</t>
  </si>
  <si>
    <t>ET010703</t>
  </si>
  <si>
    <t>ET010707</t>
  </si>
  <si>
    <t>Qedamay Weyane Sub City</t>
  </si>
  <si>
    <t>ET010706</t>
  </si>
  <si>
    <t>ET010702</t>
  </si>
  <si>
    <t>Kuiha Sub City</t>
  </si>
  <si>
    <t>Latest INDS</t>
  </si>
  <si>
    <t># of Sites</t>
  </si>
  <si>
    <t>List of Managed Sites</t>
  </si>
  <si>
    <t>Total</t>
  </si>
  <si>
    <t>Donor/Program Partner</t>
  </si>
  <si>
    <t>Closed</t>
  </si>
  <si>
    <t>ABA</t>
  </si>
  <si>
    <t>EHF</t>
  </si>
  <si>
    <t>Site Closing Date</t>
  </si>
  <si>
    <t>Remarks</t>
  </si>
  <si>
    <t>Shire Endaslasie town</t>
  </si>
  <si>
    <t>Adihaki Sub City</t>
  </si>
  <si>
    <t>ET010210</t>
  </si>
  <si>
    <t>Tahtay Koraro</t>
  </si>
  <si>
    <t>ET010104</t>
  </si>
  <si>
    <t>Laelay Koraro</t>
  </si>
  <si>
    <t>CCCM Agency-2025</t>
  </si>
  <si>
    <t>Adi-abay</t>
  </si>
  <si>
    <t>Adi- abay</t>
  </si>
  <si>
    <t>Adi-Kentibay</t>
  </si>
  <si>
    <t>Indasilassie Town</t>
  </si>
  <si>
    <t>Yonas Kiros</t>
  </si>
  <si>
    <t>Edaga Hamus Town</t>
  </si>
  <si>
    <t>Sheraro Town</t>
  </si>
  <si>
    <t>Mayweyeni Secondary school</t>
  </si>
  <si>
    <t>Agazi Secondary School</t>
  </si>
  <si>
    <t>unknown</t>
  </si>
  <si>
    <t>Latest HHs</t>
  </si>
  <si>
    <t>Latest INDs</t>
  </si>
  <si>
    <t>Sekela</t>
  </si>
  <si>
    <t>Alibo IDP Site</t>
  </si>
  <si>
    <t>Obora</t>
  </si>
  <si>
    <t>Hagamsa</t>
  </si>
  <si>
    <t>Alibo Hospital</t>
  </si>
  <si>
    <t>0pen</t>
  </si>
  <si>
    <t>Host-Community</t>
  </si>
  <si>
    <t>Horro Guduru wollega</t>
  </si>
  <si>
    <t>Horro Bulluck</t>
  </si>
  <si>
    <t xml:space="preserve">Jardaga Jarte </t>
  </si>
  <si>
    <t>Amuru</t>
  </si>
  <si>
    <t>Sekela 01</t>
  </si>
  <si>
    <t>Sombo Kumi</t>
  </si>
  <si>
    <t>Obora 01 and 02</t>
  </si>
  <si>
    <t>Gurmuu</t>
  </si>
  <si>
    <t>IOM/RRF</t>
  </si>
  <si>
    <t>Gibe Hatahu Futasa</t>
  </si>
  <si>
    <t>Adi Daero Cambo</t>
  </si>
  <si>
    <t>Zone 4</t>
  </si>
  <si>
    <t>BHA, ECHO</t>
  </si>
  <si>
    <t>Abdurahmed YOUSEF</t>
  </si>
  <si>
    <t>0948872608</t>
  </si>
  <si>
    <t>Mekele</t>
  </si>
  <si>
    <t>Adihaki Sub City CRC</t>
  </si>
  <si>
    <t>Adihaki sub city</t>
  </si>
  <si>
    <t>Adwa CRC</t>
  </si>
  <si>
    <t xml:space="preserve">Debrichi </t>
  </si>
  <si>
    <t xml:space="preserve">Atsede Kindergarten </t>
  </si>
  <si>
    <t>Endabaguna CRC</t>
  </si>
  <si>
    <t>Endabaguna Town</t>
  </si>
  <si>
    <t>Mai Dumu</t>
  </si>
  <si>
    <t>self-settled camp</t>
  </si>
  <si>
    <t>Jigjiga</t>
  </si>
  <si>
    <t>BHA</t>
  </si>
  <si>
    <t>Farhan Sahane</t>
  </si>
  <si>
    <t>0929239447</t>
  </si>
  <si>
    <t>Shire CRC</t>
  </si>
  <si>
    <t>Kebele 02, Kebele 03</t>
  </si>
  <si>
    <t>Abi Adi DIC</t>
  </si>
  <si>
    <t>Abi Adi City</t>
  </si>
  <si>
    <t>Area-based Approach</t>
  </si>
  <si>
    <t>Abi Adi Town</t>
  </si>
  <si>
    <t>Solomon G/hiwet</t>
  </si>
  <si>
    <t>0951713296</t>
  </si>
  <si>
    <t>Abadi G/yesus</t>
  </si>
  <si>
    <t>0904309851</t>
  </si>
  <si>
    <t>Axum Town</t>
  </si>
  <si>
    <t>Alula Fetene</t>
  </si>
  <si>
    <t>0910359606</t>
  </si>
  <si>
    <t xml:space="preserve">Adwa DIC </t>
  </si>
  <si>
    <t xml:space="preserve">Adwa YMCA </t>
  </si>
  <si>
    <t>OSSHD/EHF/COOPI</t>
  </si>
  <si>
    <t>Mulu Haile</t>
  </si>
  <si>
    <t>0920864518</t>
  </si>
  <si>
    <t>Axum DIC</t>
  </si>
  <si>
    <t>Mahberawi Guday Atsede Hitsanat, Axum City</t>
  </si>
  <si>
    <t>Mewael G/kidan</t>
  </si>
  <si>
    <t>0914496126</t>
  </si>
  <si>
    <t>Muruts Hagos</t>
  </si>
  <si>
    <t>0963535889</t>
  </si>
  <si>
    <t>Mekonen Tekia</t>
  </si>
  <si>
    <t>Maichew DIC</t>
  </si>
  <si>
    <t xml:space="preserve">Maichew Youth center </t>
  </si>
  <si>
    <t>Maichew City</t>
  </si>
  <si>
    <t>Maichew</t>
  </si>
  <si>
    <t>Yitbarek Redae</t>
  </si>
  <si>
    <t>0901973956</t>
  </si>
  <si>
    <t xml:space="preserve">Maichew IDP site </t>
  </si>
  <si>
    <t>Old Education bureau</t>
  </si>
  <si>
    <t>Quiha Sub City</t>
  </si>
  <si>
    <t>Quiha DIC</t>
  </si>
  <si>
    <t>Samrawit G/hiwet</t>
  </si>
  <si>
    <t>0932280089</t>
  </si>
  <si>
    <t>Sheraro DIC</t>
  </si>
  <si>
    <t>OSSHD/EHF/IRC</t>
  </si>
  <si>
    <t xml:space="preserve">Yohannes G/her </t>
  </si>
  <si>
    <t>0914041824</t>
  </si>
  <si>
    <t>Shire DIC</t>
  </si>
  <si>
    <t xml:space="preserve">Kebele 04 Security bureau Shire </t>
  </si>
  <si>
    <t xml:space="preserve">Abergele-Yechila </t>
  </si>
  <si>
    <t>Mekelakeya camp</t>
  </si>
  <si>
    <t xml:space="preserve">Abergele Yechila
</t>
  </si>
  <si>
    <t>yechila</t>
  </si>
  <si>
    <t>Yechila</t>
  </si>
  <si>
    <t>N 13°17'5"</t>
  </si>
  <si>
    <t>E38°59'42"</t>
  </si>
  <si>
    <t>Yes, accessible by Vehicle Yes</t>
  </si>
  <si>
    <t>RRF/IOM</t>
  </si>
  <si>
    <t>0912284279</t>
  </si>
  <si>
    <t>2814</t>
  </si>
  <si>
    <t>CRDO</t>
  </si>
  <si>
    <t>Tsegay Kidu</t>
  </si>
  <si>
    <t>0937007330</t>
  </si>
  <si>
    <t>Debre Berhan Town</t>
  </si>
  <si>
    <t>0913183456</t>
  </si>
  <si>
    <t xml:space="preserve">Abuarie </t>
  </si>
  <si>
    <t>0923750695</t>
  </si>
  <si>
    <t>Gibrinagibi</t>
  </si>
  <si>
    <t>Woldiya Town</t>
  </si>
  <si>
    <t>Lamerbata</t>
  </si>
  <si>
    <t>Mersa</t>
  </si>
  <si>
    <t>Mersa Town</t>
  </si>
  <si>
    <t xml:space="preserve">TVET College </t>
  </si>
  <si>
    <t>0910119444</t>
  </si>
  <si>
    <t>Abrhaley Tewelemedhn</t>
  </si>
  <si>
    <t>0989002112</t>
  </si>
  <si>
    <t>Mebrahtom Gebregziabher</t>
  </si>
  <si>
    <t>0913092486</t>
  </si>
  <si>
    <t>TI-0211</t>
  </si>
  <si>
    <t>TG-0211</t>
  </si>
  <si>
    <t>TI-0208</t>
  </si>
  <si>
    <t>TG-0208</t>
  </si>
  <si>
    <t>TI-0206</t>
  </si>
  <si>
    <t>TG-0206</t>
  </si>
  <si>
    <t>TI-0207</t>
  </si>
  <si>
    <t>TG-0207</t>
  </si>
  <si>
    <t>ABA - TI-0018</t>
  </si>
  <si>
    <t>ABA - TG-0018</t>
  </si>
  <si>
    <t>ABA - TI-0004</t>
  </si>
  <si>
    <t>ABA - TG-0004</t>
  </si>
  <si>
    <t>ABA - TI-0019</t>
  </si>
  <si>
    <t>ABA - TG-0019</t>
  </si>
  <si>
    <t>ABA - TI-0016</t>
  </si>
  <si>
    <t>ABA - TG-0016</t>
  </si>
  <si>
    <t>ABA - TI-0002</t>
  </si>
  <si>
    <t>ABA - TG-0002</t>
  </si>
  <si>
    <t>ABA - TI-0020</t>
  </si>
  <si>
    <t>ABA - TG-0020</t>
  </si>
  <si>
    <t>ABA - TI-0007</t>
  </si>
  <si>
    <t>ABA - TG-0007</t>
  </si>
  <si>
    <t>ABA - TI-0010</t>
  </si>
  <si>
    <t>ABA - TG-0010</t>
  </si>
  <si>
    <t>ABA - TI-0012</t>
  </si>
  <si>
    <t>ABA - TG-0012</t>
  </si>
  <si>
    <t>ABA - TI-0014</t>
  </si>
  <si>
    <t>ABA - TG-0014</t>
  </si>
  <si>
    <t>Adebay</t>
  </si>
  <si>
    <t>Adi Kentibay</t>
  </si>
  <si>
    <t>Shire Endaslasie Town</t>
  </si>
  <si>
    <t>Maichew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</si>
</sst>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\-yyyy"/>
    <numFmt numFmtId="165" formatCode="_(* #,##0.00000000_);_(* \(#,##0.00000000\);_(* &quot;-&quot;??_);_(@_)"/>
    <numFmt numFmtId="166" formatCode="\+\2\5\10\ "/>
    <numFmt numFmtId="168" formatCode="_(* #,##0_);_(* \(#,##0\);_(* &quot;-&quot;??_);_(@_)"/>
    <numFmt numFmtId="170" formatCode="0.0000"/>
    <numFmt numFmtId="171" formatCode="[$-409]d\-mmm\-yy;@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C55A11"/>
        <bgColor rgb="FFC55A11"/>
      </patternFill>
    </fill>
    <fill>
      <patternFill patternType="solid">
        <fgColor rgb="FF2A87C8"/>
        <bgColor rgb="FF2A87C8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9" fillId="0" borderId="1" xfId="0" applyFont="1" applyBorder="1"/>
    <xf numFmtId="164" fontId="9" fillId="0" borderId="1" xfId="0" applyNumberFormat="1" applyFont="1" applyBorder="1"/>
    <xf numFmtId="0" fontId="10" fillId="0" borderId="1" xfId="0" applyFont="1" applyBorder="1"/>
    <xf numFmtId="168" fontId="0" fillId="0" borderId="1" xfId="1" applyNumberFormat="1" applyFont="1" applyBorder="1"/>
    <xf numFmtId="0" fontId="0" fillId="0" borderId="1" xfId="0" applyBorder="1"/>
    <xf numFmtId="166" fontId="9" fillId="0" borderId="1" xfId="0" applyNumberFormat="1" applyFont="1" applyBorder="1"/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9" fillId="0" borderId="4" xfId="0" applyFont="1" applyBorder="1"/>
    <xf numFmtId="168" fontId="0" fillId="0" borderId="5" xfId="1" applyNumberFormat="1" applyFont="1" applyBorder="1"/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4" fontId="6" fillId="2" borderId="7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65" fontId="6" fillId="3" borderId="7" xfId="0" applyNumberFormat="1" applyFont="1" applyFill="1" applyBorder="1" applyAlignment="1">
      <alignment horizontal="center" vertical="center" wrapText="1"/>
    </xf>
    <xf numFmtId="165" fontId="6" fillId="4" borderId="7" xfId="0" applyNumberFormat="1" applyFont="1" applyFill="1" applyBorder="1" applyAlignment="1">
      <alignment horizontal="center" vertical="center" wrapText="1"/>
    </xf>
    <xf numFmtId="164" fontId="6" fillId="5" borderId="7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168" fontId="6" fillId="6" borderId="7" xfId="1" applyNumberFormat="1" applyFont="1" applyFill="1" applyBorder="1" applyAlignment="1">
      <alignment horizontal="center" vertical="center" wrapText="1"/>
    </xf>
    <xf numFmtId="168" fontId="6" fillId="6" borderId="8" xfId="1" applyNumberFormat="1" applyFont="1" applyFill="1" applyBorder="1" applyAlignment="1">
      <alignment horizontal="center" vertical="center" wrapText="1"/>
    </xf>
    <xf numFmtId="0" fontId="9" fillId="0" borderId="9" xfId="0" applyFont="1" applyBorder="1"/>
    <xf numFmtId="0" fontId="9" fillId="0" borderId="3" xfId="0" applyFont="1" applyBorder="1"/>
    <xf numFmtId="164" fontId="9" fillId="0" borderId="3" xfId="0" applyNumberFormat="1" applyFont="1" applyBorder="1"/>
    <xf numFmtId="0" fontId="10" fillId="0" borderId="3" xfId="0" applyFont="1" applyBorder="1"/>
    <xf numFmtId="0" fontId="0" fillId="0" borderId="3" xfId="0" applyBorder="1"/>
    <xf numFmtId="166" fontId="9" fillId="0" borderId="3" xfId="0" applyNumberFormat="1" applyFont="1" applyBorder="1"/>
    <xf numFmtId="168" fontId="0" fillId="0" borderId="3" xfId="1" applyNumberFormat="1" applyFont="1" applyBorder="1"/>
    <xf numFmtId="168" fontId="0" fillId="0" borderId="10" xfId="1" applyNumberFormat="1" applyFont="1" applyBorder="1"/>
    <xf numFmtId="0" fontId="1" fillId="0" borderId="3" xfId="0" applyFont="1" applyBorder="1"/>
    <xf numFmtId="171" fontId="0" fillId="0" borderId="0" xfId="0" applyNumberFormat="1"/>
    <xf numFmtId="170" fontId="0" fillId="0" borderId="0" xfId="0" applyNumberFormat="1"/>
    <xf numFmtId="1" fontId="0" fillId="0" borderId="0" xfId="0" applyNumberFormat="1"/>
    <xf numFmtId="0" fontId="4" fillId="8" borderId="2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border diagonalUp="0" diagonalDown="0">
        <left style="thin">
          <color theme="0" tint="-0.499984740745262"/>
        </left>
        <right/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\+\2\5\10\ 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409]d\-mmm\-yyyy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409]d\-mmm\-yyyy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68" formatCode="_(* #,##0_);_(* \(#,##0\);_(* &quot;-&quot;??_);_(@_)"/>
      <fill>
        <patternFill patternType="solid">
          <fgColor rgb="FF2A87C8"/>
          <bgColor rgb="FF2A87C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(* #,##0_);_(* \(#,##0\);_(* &quot;-&quot;??_);_(@_)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\+\2\5\10\ 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409]d\-mmm\-yyyy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409]d\-mmm\-yyyy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bottom style="thin">
          <color theme="0" tint="-0.499984740745262"/>
        </bottom>
      </border>
    </dxf>
    <dxf>
      <numFmt numFmtId="170" formatCode="0.0000"/>
    </dxf>
    <dxf>
      <numFmt numFmtId="170" formatCode="0.0000"/>
    </dxf>
  </dxfs>
  <tableStyles count="0" defaultTableStyle="TableStyleMedium2" defaultPivotStyle="PivotStyleLight16"/>
  <colors>
    <mruColors>
      <color rgb="FFFF83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82019D-DE4F-4547-95FA-28DFF1306928}" autoFormatId="16" applyNumberFormats="0" applyBorderFormats="0" applyFontFormats="0" applyPatternFormats="0" applyAlignmentFormats="0" applyWidthHeightFormats="0">
  <queryTableRefresh nextId="37">
    <queryTableFields count="26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7" name="Latest HHs" tableColumnId="27"/>
      <queryTableField id="28" name="Latest INDs" tableColumnId="28"/>
      <queryTableField id="29" name="Remarks" tableColumnId="29"/>
    </queryTableFields>
    <queryTableDeletedFields count="5">
      <deletedField name="CCCM Agency-2023"/>
      <deletedField name="Latest INDS"/>
      <deletedField name="CAMP MANAGER"/>
      <deletedField name="MOBILE"/>
      <deletedField name="Donor/Program Partne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F4D17CC-ADE7-49BB-B99C-6FF84214B7D1}" autoFormatId="16" applyNumberFormats="0" applyBorderFormats="0" applyFontFormats="0" applyPatternFormats="0" applyAlignmentFormats="0" applyWidthHeightFormats="0">
  <queryTableRefresh nextId="32">
    <queryTableFields count="24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9" name="Remarks" tableColumnId="29"/>
    </queryTableFields>
    <queryTableDeletedFields count="7">
      <deletedField name="CCCM Agency-2023"/>
      <deletedField name="Latest INDS"/>
      <deletedField name="CAMP MANAGER"/>
      <deletedField name="MOBILE"/>
      <deletedField name="Latest HHs"/>
      <deletedField name="Latest INDs"/>
      <deletedField name="Donor/Program Partn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3DA3D06-A5E3-4CC7-8220-F6F01F0314C0}" autoFormatId="16" applyNumberFormats="0" applyBorderFormats="0" applyFontFormats="0" applyPatternFormats="0" applyAlignmentFormats="0" applyWidthHeightFormats="0">
  <queryTableRefresh nextId="29">
    <queryTableFields count="28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HHs" tableColumnId="27"/>
      <queryTableField id="28" name="Latest INDs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CCFC65E-CDDE-41A2-A306-3445B24A5B6B}" autoFormatId="16" applyNumberFormats="0" applyBorderFormats="0" applyFontFormats="0" applyPatternFormats="0" applyAlignmentFormats="0" applyWidthHeightFormats="0">
  <queryTableRefresh nextId="30">
    <queryTableFields count="29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HHs" tableColumnId="27"/>
      <queryTableField id="28" name="Latest INDs" tableColumnId="28"/>
      <queryTableField id="29" name="Remarks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D6FFC21-24A5-46D6-9388-4AAFAF59CB3F}" autoFormatId="16" applyNumberFormats="0" applyBorderFormats="0" applyFontFormats="0" applyPatternFormats="0" applyAlignmentFormats="0" applyWidthHeightFormats="0">
  <queryTableRefresh nextId="28">
    <queryTableFields count="27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3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INDS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8202F95-AAD4-4C12-BB45-EFFECAEB8E0A}" autoFormatId="16" applyNumberFormats="0" applyBorderFormats="0" applyFontFormats="0" applyPatternFormats="0" applyAlignmentFormats="0" applyWidthHeightFormats="0">
  <queryTableRefresh nextId="29">
    <queryTableFields count="28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HHs" tableColumnId="27"/>
      <queryTableField id="28" name="Latest INDs" tableColumnId="2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51EE9D9-2FAA-4734-B7F6-F2ACA7FAA797}" autoFormatId="16" applyNumberFormats="0" applyBorderFormats="0" applyFontFormats="0" applyPatternFormats="0" applyAlignmentFormats="0" applyWidthHeightFormats="0">
  <queryTableRefresh nextId="29">
    <queryTableFields count="28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HHs" tableColumnId="27"/>
      <queryTableField id="28" name="Latest INDs" tableColumnId="2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DB1A309-089B-4A32-9DFE-7A0D7DA1848A}" autoFormatId="16" applyNumberFormats="0" applyBorderFormats="0" applyFontFormats="0" applyPatternFormats="0" applyAlignmentFormats="0" applyWidthHeightFormats="0">
  <queryTableRefresh nextId="30">
    <queryTableFields count="29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HHs" tableColumnId="27"/>
      <queryTableField id="28" name="Latest INDs" tableColumnId="28"/>
      <queryTableField id="29" name="Remarks" tableColumnId="2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9C20504-4A50-447D-9E4D-4CB413975FE4}" autoFormatId="16" applyNumberFormats="0" applyBorderFormats="0" applyFontFormats="0" applyPatternFormats="0" applyAlignmentFormats="0" applyWidthHeightFormats="0">
  <queryTableRefresh nextId="30">
    <queryTableFields count="29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5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HHs" tableColumnId="27"/>
      <queryTableField id="28" name="Latest INDs" tableColumnId="28"/>
      <queryTableField id="29" name="Remarks" tableColumnId="2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189B8AE-2C62-4D36-A32E-A79A27F8F6EF}" autoFormatId="16" applyNumberFormats="0" applyBorderFormats="0" applyFontFormats="0" applyPatternFormats="0" applyAlignmentFormats="0" applyWidthHeightFormats="0">
  <queryTableRefresh nextId="30">
    <queryTableFields count="29">
      <queryTableField id="1" name="CCCM Site ID" tableColumnId="1"/>
      <queryTableField id="2" name="CCCM Sited ID_x000a_New" tableColumnId="2"/>
      <queryTableField id="3" name="DTM Site ID" tableColumnId="3"/>
      <queryTableField id="4" name="Site Name" tableColumnId="4"/>
      <queryTableField id="5" name="Alternate Site Name" tableColumnId="5"/>
      <queryTableField id="6" name="Site Status" tableColumnId="6"/>
      <queryTableField id="7" name="Site Open Date" tableColumnId="7"/>
      <queryTableField id="8" name="Site Closing Date" tableColumnId="8"/>
      <queryTableField id="9" name="Settlement Type" tableColumnId="9"/>
      <queryTableField id="10" name="Region" tableColumnId="10"/>
      <queryTableField id="11" name="OCHA_Adm1_PCODE" tableColumnId="11"/>
      <queryTableField id="12" name="Zone" tableColumnId="12"/>
      <queryTableField id="13" name="OCHA_ADM2_PCODE" tableColumnId="13"/>
      <queryTableField id="14" name="Woreda" tableColumnId="14"/>
      <queryTableField id="15" name="OCHA_ADM3_PCODE" tableColumnId="15"/>
      <queryTableField id="16" name="Kebele" tableColumnId="16"/>
      <queryTableField id="17" name="AOR" tableColumnId="17"/>
      <queryTableField id="18" name="Lat" tableColumnId="18"/>
      <queryTableField id="19" name="Long" tableColumnId="19"/>
      <queryTableField id="20" name="Have Access?" tableColumnId="20"/>
      <queryTableField id="21" name="CCCM Managed" tableColumnId="21"/>
      <queryTableField id="22" name="CCCM Approach" tableColumnId="22"/>
      <queryTableField id="23" name="CCCM Agency-2023" tableColumnId="23"/>
      <queryTableField id="24" name="Donor/Program Partner" tableColumnId="24"/>
      <queryTableField id="25" name="CAMP MANAGER" tableColumnId="25"/>
      <queryTableField id="26" name="MOBILE" tableColumnId="26"/>
      <queryTableField id="27" name="Latest HHs" tableColumnId="27"/>
      <queryTableField id="28" name="Latest INDs" tableColumnId="28"/>
      <queryTableField id="29" name="Remarks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BFE6D6E-4AC3-4D41-8EE7-920D47B3C89A}" name="All_Managed" displayName="All_Managed" ref="A1:Z73" tableType="queryTable" totalsRowShown="0">
  <autoFilter ref="A1:Z73" xr:uid="{ABFE6D6E-4AC3-4D41-8EE7-920D47B3C89A}"/>
  <tableColumns count="26">
    <tableColumn id="1" xr3:uid="{27EB9D33-AE15-4E4E-8108-6DB596FE35EA}" uniqueName="1" name="CCCM Site ID" queryTableFieldId="1"/>
    <tableColumn id="2" xr3:uid="{F2830E79-7AB9-489A-85EC-39A845D1019B}" uniqueName="2" name="CCCM Sited ID_x000a_New" queryTableFieldId="2"/>
    <tableColumn id="3" xr3:uid="{F9FCD281-CA67-4109-A9D3-769F62AE738C}" uniqueName="3" name="DTM Site ID" queryTableFieldId="3"/>
    <tableColumn id="4" xr3:uid="{8B9A4850-AAA2-4E1E-9EEB-FE5B1685A06E}" uniqueName="4" name="Site Name" queryTableFieldId="4"/>
    <tableColumn id="5" xr3:uid="{19711237-B24D-45BD-8B83-647FB89BA331}" uniqueName="5" name="Alternate Site Name" queryTableFieldId="5"/>
    <tableColumn id="6" xr3:uid="{82347363-3D7D-4197-B81A-76480DB46ADF}" uniqueName="6" name="Site Status" queryTableFieldId="6"/>
    <tableColumn id="7" xr3:uid="{0B46BA13-D4CE-4B63-BC24-786269D9D436}" uniqueName="7" name="Site Open Date" queryTableFieldId="7"/>
    <tableColumn id="8" xr3:uid="{FA0BF023-E965-4652-A7A8-99A72CB1D30F}" uniqueName="8" name="Site Closing Date" queryTableFieldId="8"/>
    <tableColumn id="9" xr3:uid="{7E0CC040-3A7F-4915-921D-6CB4A589D6DB}" uniqueName="9" name="Settlement Type" queryTableFieldId="9"/>
    <tableColumn id="10" xr3:uid="{8872AD23-6662-42EC-9491-516F4FC70229}" uniqueName="10" name="Region" queryTableFieldId="10"/>
    <tableColumn id="11" xr3:uid="{4AE7157D-E65D-424E-AAE6-5EC54ADF8A9D}" uniqueName="11" name="OCHA_Adm1_PCODE" queryTableFieldId="11"/>
    <tableColumn id="12" xr3:uid="{ED73F5FC-5E25-47E2-85F7-F8CC24955B41}" uniqueName="12" name="Zone" queryTableFieldId="12"/>
    <tableColumn id="13" xr3:uid="{2B96FE94-F4B1-481A-B40D-C403665B836D}" uniqueName="13" name="OCHA_ADM2_PCODE" queryTableFieldId="13"/>
    <tableColumn id="14" xr3:uid="{1938E3E0-FA6D-4FDB-982D-66CA2EAC8DAA}" uniqueName="14" name="Woreda" queryTableFieldId="14"/>
    <tableColumn id="15" xr3:uid="{17D141F4-867A-469B-B2FD-0FE111D4F5A5}" uniqueName="15" name="OCHA_ADM3_PCODE" queryTableFieldId="15"/>
    <tableColumn id="16" xr3:uid="{CF0AA4C1-779C-42C4-9A8B-3957BACAD6CF}" uniqueName="16" name="Kebele" queryTableFieldId="16"/>
    <tableColumn id="17" xr3:uid="{99F106D9-2C2C-4350-BA85-645421B34A26}" uniqueName="17" name="AOR" queryTableFieldId="17"/>
    <tableColumn id="18" xr3:uid="{4B1A8FD1-B50D-467F-9253-1B319CF34BDC}" uniqueName="18" name="Lat" queryTableFieldId="18" dataDxfId="79"/>
    <tableColumn id="19" xr3:uid="{78CC9805-8F3D-460B-B391-AD78808BCA77}" uniqueName="19" name="Long" queryTableFieldId="19" dataDxfId="78"/>
    <tableColumn id="20" xr3:uid="{BAA91C1A-BE3B-4A24-B41E-0352950BA7BD}" uniqueName="20" name="Have Access?" queryTableFieldId="20"/>
    <tableColumn id="21" xr3:uid="{B1B5F0CF-6967-47F5-9373-1AAA3CFC1391}" uniqueName="21" name="CCCM Managed" queryTableFieldId="21"/>
    <tableColumn id="22" xr3:uid="{F3F9C923-09F9-4DD8-A32E-6701D10FEB95}" uniqueName="22" name="CCCM Approach" queryTableFieldId="22"/>
    <tableColumn id="23" xr3:uid="{7BB7CA9E-1C16-49AB-AAA6-30E727D8CDD4}" uniqueName="23" name="CCCM Agency-2025" queryTableFieldId="23"/>
    <tableColumn id="27" xr3:uid="{75B59347-51F1-429B-9A12-F39258FFB4BD}" uniqueName="27" name="Latest HHs" queryTableFieldId="27"/>
    <tableColumn id="28" xr3:uid="{A8809B6F-8885-4870-9F72-A25DE8927498}" uniqueName="28" name="Latest INDs" queryTableFieldId="28"/>
    <tableColumn id="29" xr3:uid="{06EA229E-AAB7-4881-8DD3-63E81B640882}" uniqueName="29" name="Remarks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BAC235E-9947-4C82-9E4C-EF14EC03DEC8}" name="All_Managed22" displayName="All_Managed22" ref="A1:X12" tableType="queryTable" totalsRowShown="0">
  <autoFilter ref="A1:X12" xr:uid="{EBAC235E-9947-4C82-9E4C-EF14EC03DEC8}"/>
  <tableColumns count="24">
    <tableColumn id="1" xr3:uid="{E152D1F2-CE0E-4964-AF26-B06CB05BD802}" uniqueName="1" name="CCCM Site ID" queryTableFieldId="1"/>
    <tableColumn id="2" xr3:uid="{56761B5C-A8FB-43D7-A404-C7E39B9A1EF5}" uniqueName="2" name="CCCM Sited ID_x000a_New" queryTableFieldId="2"/>
    <tableColumn id="3" xr3:uid="{FB491377-7739-480C-B500-197E0CCE125D}" uniqueName="3" name="DTM Site ID" queryTableFieldId="3"/>
    <tableColumn id="4" xr3:uid="{2DF6BC4B-1DFA-4CF1-9419-E7868B8C8702}" uniqueName="4" name="Site Name" queryTableFieldId="4"/>
    <tableColumn id="5" xr3:uid="{ED3E5300-C679-47B4-9664-32BBB302ED38}" uniqueName="5" name="Alternate Site Name" queryTableFieldId="5"/>
    <tableColumn id="6" xr3:uid="{72B9DBF6-9C12-4802-AAD9-861AACD786DD}" uniqueName="6" name="Site Status" queryTableFieldId="6"/>
    <tableColumn id="7" xr3:uid="{AA2CECA5-733E-4512-9911-E2E87F83E4E2}" uniqueName="7" name="Site Open Date" queryTableFieldId="7"/>
    <tableColumn id="8" xr3:uid="{132CF1BD-200E-48E6-A20A-8D3DB212750D}" uniqueName="8" name="Site Closing Date" queryTableFieldId="8"/>
    <tableColumn id="9" xr3:uid="{3BD52812-636D-4298-9C35-21A59AA3CF9A}" uniqueName="9" name="Settlement Type" queryTableFieldId="9"/>
    <tableColumn id="10" xr3:uid="{1203BF73-5FFB-4B2D-A485-E432999CBC39}" uniqueName="10" name="Region" queryTableFieldId="10"/>
    <tableColumn id="11" xr3:uid="{6379699F-B629-49B7-86B4-30517B20D53D}" uniqueName="11" name="OCHA_Adm1_PCODE" queryTableFieldId="11"/>
    <tableColumn id="12" xr3:uid="{3AE4AB14-A56A-40CB-B0B9-FCA95F2004E0}" uniqueName="12" name="Zone" queryTableFieldId="12"/>
    <tableColumn id="13" xr3:uid="{F3B4C66A-7A53-4E8D-8651-718F7BEC817A}" uniqueName="13" name="OCHA_ADM2_PCODE" queryTableFieldId="13"/>
    <tableColumn id="14" xr3:uid="{2B1FA12B-427A-41EF-9F52-A6DE543E56E3}" uniqueName="14" name="Woreda" queryTableFieldId="14"/>
    <tableColumn id="15" xr3:uid="{D3B2A3C7-D81A-4A35-990D-FBC24B6820A8}" uniqueName="15" name="OCHA_ADM3_PCODE" queryTableFieldId="15"/>
    <tableColumn id="16" xr3:uid="{7E47B3D2-3C2D-49D6-A6D0-EB0D5B92C2C7}" uniqueName="16" name="Kebele" queryTableFieldId="16"/>
    <tableColumn id="17" xr3:uid="{7BA5D7B8-F2F7-445F-8F88-CD7C4BCFB407}" uniqueName="17" name="AOR" queryTableFieldId="17"/>
    <tableColumn id="18" xr3:uid="{21B02E9C-158D-45F0-ACA5-87215DAB3C4D}" uniqueName="18" name="Lat" queryTableFieldId="18"/>
    <tableColumn id="19" xr3:uid="{E42EA9A9-CA09-45F6-B3D6-6079E7D2531E}" uniqueName="19" name="Long" queryTableFieldId="19"/>
    <tableColumn id="20" xr3:uid="{E2D52BE6-3317-4D90-84A7-51434952BA61}" uniqueName="20" name="Have Access?" queryTableFieldId="20"/>
    <tableColumn id="21" xr3:uid="{4309EC65-A17F-44BB-8ECD-12C4992C2145}" uniqueName="21" name="CCCM Managed" queryTableFieldId="21"/>
    <tableColumn id="22" xr3:uid="{B2C27BC4-8035-4E2B-B521-49D460DAB613}" uniqueName="22" name="CCCM Approach" queryTableFieldId="22"/>
    <tableColumn id="23" xr3:uid="{77F0DEE3-83A1-421C-A67D-C76D4369532D}" uniqueName="23" name="CCCM Agency-2025" queryTableFieldId="23"/>
    <tableColumn id="29" xr3:uid="{24B9345D-5790-43DA-BE74-E3CC675623C0}" uniqueName="29" name="Remarks" queryTableField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7A8B63-6125-4DA7-B3BF-280F26179271}" name="ANE" displayName="ANE" ref="A1:AB21" tableType="queryTable" totalsRowShown="0">
  <autoFilter ref="A1:AB21" xr:uid="{217A8B63-6125-4DA7-B3BF-280F26179271}"/>
  <tableColumns count="28">
    <tableColumn id="1" xr3:uid="{0B8EBAB2-D26C-4883-A49C-1C9C83C27141}" uniqueName="1" name="CCCM Site ID" queryTableFieldId="1"/>
    <tableColumn id="2" xr3:uid="{B05F7B66-5B09-488C-AA37-E228AB3B904A}" uniqueName="2" name="CCCM Sited ID_x000a_New" queryTableFieldId="2"/>
    <tableColumn id="3" xr3:uid="{943DDA2A-DCE7-446A-9D47-5BADE6E3F62B}" uniqueName="3" name="DTM Site ID" queryTableFieldId="3"/>
    <tableColumn id="4" xr3:uid="{1CCD3A1E-FEEA-4868-A82D-D73817B340BE}" uniqueName="4" name="Site Name" queryTableFieldId="4"/>
    <tableColumn id="5" xr3:uid="{AF1684F4-2913-4E8B-A93E-42830A43F823}" uniqueName="5" name="Alternate Site Name" queryTableFieldId="5"/>
    <tableColumn id="6" xr3:uid="{80FA4B97-F402-4EC5-91FC-DC643946305B}" uniqueName="6" name="Site Status" queryTableFieldId="6"/>
    <tableColumn id="7" xr3:uid="{49791311-02D6-4B93-B836-006EFE2BF50C}" uniqueName="7" name="Site Open Date" queryTableFieldId="7"/>
    <tableColumn id="8" xr3:uid="{1C5007F2-534D-4711-99D0-1766A27C6682}" uniqueName="8" name="Site Closing Date" queryTableFieldId="8"/>
    <tableColumn id="9" xr3:uid="{6DC00869-00A7-4FAF-91CD-195F7C099EC4}" uniqueName="9" name="Settlement Type" queryTableFieldId="9"/>
    <tableColumn id="10" xr3:uid="{FCC6C068-0D1F-4391-9FC5-72096AA804B9}" uniqueName="10" name="Region" queryTableFieldId="10"/>
    <tableColumn id="11" xr3:uid="{C25964FD-FB55-4CB1-9054-7C371F89C046}" uniqueName="11" name="OCHA_Adm1_PCODE" queryTableFieldId="11"/>
    <tableColumn id="12" xr3:uid="{0D9E1975-488F-443E-8C28-32F1DF97DA10}" uniqueName="12" name="Zone" queryTableFieldId="12"/>
    <tableColumn id="13" xr3:uid="{A0E7578C-88EC-4AD7-A386-02443B9C2429}" uniqueName="13" name="OCHA_ADM2_PCODE" queryTableFieldId="13"/>
    <tableColumn id="14" xr3:uid="{1E76E9CA-12F1-4960-915E-997BE338D853}" uniqueName="14" name="Woreda" queryTableFieldId="14"/>
    <tableColumn id="15" xr3:uid="{D601A175-85DF-417A-9983-15BC259FF778}" uniqueName="15" name="OCHA_ADM3_PCODE" queryTableFieldId="15"/>
    <tableColumn id="16" xr3:uid="{C7476862-768D-4FD7-A1DD-BE4CE19F49D7}" uniqueName="16" name="Kebele" queryTableFieldId="16"/>
    <tableColumn id="17" xr3:uid="{030DD302-E108-4DF5-974B-9A101E6BB5B9}" uniqueName="17" name="AOR" queryTableFieldId="17"/>
    <tableColumn id="18" xr3:uid="{A182A1C2-7ED2-48E5-A3EE-520F8CFB8095}" uniqueName="18" name="Lat" queryTableFieldId="18"/>
    <tableColumn id="19" xr3:uid="{286D013C-3D9A-4738-9F39-1B31B214C3F7}" uniqueName="19" name="Long" queryTableFieldId="19"/>
    <tableColumn id="20" xr3:uid="{B2C457A4-8CF9-4550-A1C8-D3C3538442EC}" uniqueName="20" name="Have Access?" queryTableFieldId="20"/>
    <tableColumn id="21" xr3:uid="{88E2A823-35FA-4D09-A789-626EA529A92F}" uniqueName="21" name="CCCM Managed" queryTableFieldId="21"/>
    <tableColumn id="22" xr3:uid="{6D19F87E-63D0-4753-8F12-6B79E4902882}" uniqueName="22" name="CCCM Approach" queryTableFieldId="22"/>
    <tableColumn id="23" xr3:uid="{CA56DEA9-3155-40C8-B4F8-8F11E658573D}" uniqueName="23" name="CCCM Agency-2025" queryTableFieldId="23"/>
    <tableColumn id="24" xr3:uid="{5818D919-76C1-419F-896D-9715066DD789}" uniqueName="24" name="Donor/Program Partner" queryTableFieldId="24"/>
    <tableColumn id="25" xr3:uid="{A2010803-44AE-43BC-BBBC-E1302DB125C9}" uniqueName="25" name="CAMP MANAGER" queryTableFieldId="25"/>
    <tableColumn id="26" xr3:uid="{DCCCF773-A3ED-400A-9B83-E60A6CA37410}" uniqueName="26" name="MOBILE" queryTableFieldId="26"/>
    <tableColumn id="27" xr3:uid="{1C869A83-A518-4FD8-B6A8-AB8BEF39E08E}" uniqueName="27" name="Latest HHs" queryTableFieldId="27"/>
    <tableColumn id="28" xr3:uid="{647EE1F7-8DDA-4353-87C9-5EE83B80E4DD}" uniqueName="28" name="Latest INDs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484EFF-0281-42D6-8E9B-6F09C62C89E4}" name="CRDO" displayName="CRDO" ref="A1:AC2" tableType="queryTable" totalsRowShown="0">
  <autoFilter ref="A1:AC2" xr:uid="{2F484EFF-0281-42D6-8E9B-6F09C62C89E4}"/>
  <tableColumns count="29">
    <tableColumn id="1" xr3:uid="{384198EC-F6E0-48B2-8C60-BEC6FEBFE635}" uniqueName="1" name="CCCM Site ID" queryTableFieldId="1"/>
    <tableColumn id="2" xr3:uid="{7D4CB5CC-FD79-49DF-BC3A-ABF56B279EC1}" uniqueName="2" name="CCCM Sited ID_x000a_New" queryTableFieldId="2"/>
    <tableColumn id="3" xr3:uid="{CA24048A-3ED7-4BEC-9261-946BBBB744EB}" uniqueName="3" name="DTM Site ID" queryTableFieldId="3"/>
    <tableColumn id="4" xr3:uid="{8A380FFF-EF3D-4923-A902-79B18C5D81B7}" uniqueName="4" name="Site Name" queryTableFieldId="4"/>
    <tableColumn id="5" xr3:uid="{7CB0FC59-29FA-47A8-B57B-12D3B2A24B04}" uniqueName="5" name="Alternate Site Name" queryTableFieldId="5"/>
    <tableColumn id="6" xr3:uid="{D21FF9A2-C264-4627-8759-A819386D0E75}" uniqueName="6" name="Site Status" queryTableFieldId="6"/>
    <tableColumn id="7" xr3:uid="{6C5A93AC-973B-4703-B791-5FC77525CDB3}" uniqueName="7" name="Site Open Date" queryTableFieldId="7"/>
    <tableColumn id="8" xr3:uid="{0CD9DBAF-AF7F-4726-8A6D-620293383571}" uniqueName="8" name="Site Closing Date" queryTableFieldId="8"/>
    <tableColumn id="9" xr3:uid="{A3D6DF12-5DB6-41DB-AD1E-C8D95B4446B1}" uniqueName="9" name="Settlement Type" queryTableFieldId="9"/>
    <tableColumn id="10" xr3:uid="{6AFC6579-BF39-4C57-9B06-76DA965EAE00}" uniqueName="10" name="Region" queryTableFieldId="10"/>
    <tableColumn id="11" xr3:uid="{8E13F635-E578-4FCE-AAEF-25F8BA6DD1FA}" uniqueName="11" name="OCHA_Adm1_PCODE" queryTableFieldId="11"/>
    <tableColumn id="12" xr3:uid="{72FA85B9-3553-4391-809D-F22AF2AE55CA}" uniqueName="12" name="Zone" queryTableFieldId="12"/>
    <tableColumn id="13" xr3:uid="{F14F291D-C172-4BDA-90D9-D19DAFB5A872}" uniqueName="13" name="OCHA_ADM2_PCODE" queryTableFieldId="13"/>
    <tableColumn id="14" xr3:uid="{F35C74F5-1C0C-42A6-81CC-917D72A8FC67}" uniqueName="14" name="Woreda" queryTableFieldId="14"/>
    <tableColumn id="15" xr3:uid="{3272FC1E-8700-439A-9590-469D12017DEE}" uniqueName="15" name="OCHA_ADM3_PCODE" queryTableFieldId="15"/>
    <tableColumn id="16" xr3:uid="{83DBCD24-92EB-4C31-9ED6-5E15C4C1D0CE}" uniqueName="16" name="Kebele" queryTableFieldId="16"/>
    <tableColumn id="17" xr3:uid="{E8BF3EFB-76B6-47FC-9FF9-85AC40F4DEE4}" uniqueName="17" name="AOR" queryTableFieldId="17"/>
    <tableColumn id="18" xr3:uid="{0947601F-BCC6-41AC-9EF2-A24E24D7F377}" uniqueName="18" name="Lat" queryTableFieldId="18"/>
    <tableColumn id="19" xr3:uid="{93578E2B-44D1-46E9-87DA-600E1C8993C0}" uniqueName="19" name="Long" queryTableFieldId="19"/>
    <tableColumn id="20" xr3:uid="{6B0FADF1-4391-4D99-88C3-6C45F4E1B014}" uniqueName="20" name="Have Access?" queryTableFieldId="20"/>
    <tableColumn id="21" xr3:uid="{5B56048A-EC39-4F4F-B77C-C8DC59086833}" uniqueName="21" name="CCCM Managed" queryTableFieldId="21"/>
    <tableColumn id="22" xr3:uid="{AC326DA4-2755-41F5-9871-6F79E086C049}" uniqueName="22" name="CCCM Approach" queryTableFieldId="22"/>
    <tableColumn id="23" xr3:uid="{CEC0189D-7B10-43B1-9383-65CA875D2C4F}" uniqueName="23" name="CCCM Agency-2025" queryTableFieldId="23"/>
    <tableColumn id="24" xr3:uid="{00AB691F-7571-4F9E-B7D8-A63CD45C13DF}" uniqueName="24" name="Donor/Program Partner" queryTableFieldId="24"/>
    <tableColumn id="25" xr3:uid="{D6DB094E-FCAA-489F-8AA4-63863EC95824}" uniqueName="25" name="CAMP MANAGER" queryTableFieldId="25"/>
    <tableColumn id="26" xr3:uid="{2416F128-CC30-46FA-84FB-FB5B6D47925B}" uniqueName="26" name="MOBILE" queryTableFieldId="26"/>
    <tableColumn id="27" xr3:uid="{7B16C265-3963-49F5-BF53-BE0122DDA37A}" uniqueName="27" name="Latest HHs" queryTableFieldId="27"/>
    <tableColumn id="28" xr3:uid="{142E5C38-BF84-460E-B88F-4C9B6D48F83A}" uniqueName="28" name="Latest INDs" queryTableFieldId="28"/>
    <tableColumn id="29" xr3:uid="{7B4E0B8F-ACE9-4F89-B4EF-0FA24BC8E5D5}" uniqueName="29" name="Remarks" queryTableField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C72F5E-AEE4-49E9-902A-46C1BCEEE5B6}" name="DEC" displayName="DEC" ref="A1:AA21" tableType="queryTable" totalsRowShown="0">
  <autoFilter ref="A1:AA21" xr:uid="{46C72F5E-AEE4-49E9-902A-46C1BCEEE5B6}"/>
  <tableColumns count="27">
    <tableColumn id="1" xr3:uid="{7572F6E4-CE21-44EC-A465-72E4143E7E7E}" uniqueName="1" name="CCCM Site ID" queryTableFieldId="1"/>
    <tableColumn id="2" xr3:uid="{999A2969-A819-4383-9B6C-EB3D5A977117}" uniqueName="2" name="CCCM Sited ID_x000a_New" queryTableFieldId="2"/>
    <tableColumn id="3" xr3:uid="{38ED3C97-D619-4D7C-BCBE-D80D20565B74}" uniqueName="3" name="DTM Site ID" queryTableFieldId="3"/>
    <tableColumn id="4" xr3:uid="{E0FF2F04-FD82-44FC-A654-E4252AADD09A}" uniqueName="4" name="Site Name" queryTableFieldId="4"/>
    <tableColumn id="5" xr3:uid="{671A6978-D507-400B-8476-A5B2F5D3507B}" uniqueName="5" name="Alternate Site Name" queryTableFieldId="5"/>
    <tableColumn id="6" xr3:uid="{81AFDC1C-AA7B-4E2B-811F-8955C15F7DB5}" uniqueName="6" name="Site Status" queryTableFieldId="6"/>
    <tableColumn id="7" xr3:uid="{DE3DF028-88E3-4094-BCA8-8B90D1C937B5}" uniqueName="7" name="Site Open Date" queryTableFieldId="7"/>
    <tableColumn id="8" xr3:uid="{2A8D5F41-E9D1-4737-BBE4-0C88E467078C}" uniqueName="8" name="Site Closing Date" queryTableFieldId="8"/>
    <tableColumn id="9" xr3:uid="{AC6E2C79-5967-4817-B056-EC96E31A679B}" uniqueName="9" name="Settlement Type" queryTableFieldId="9"/>
    <tableColumn id="10" xr3:uid="{AC6F0E20-FBF6-40CB-9E00-06C75331B063}" uniqueName="10" name="Region" queryTableFieldId="10"/>
    <tableColumn id="11" xr3:uid="{CDA8BA17-16C2-44AD-92F0-DE5FAA7E22B8}" uniqueName="11" name="OCHA_Adm1_PCODE" queryTableFieldId="11"/>
    <tableColumn id="12" xr3:uid="{0D574023-ACC4-4ABE-9545-A0E2452AC4A8}" uniqueName="12" name="Zone" queryTableFieldId="12"/>
    <tableColumn id="13" xr3:uid="{5670B5CA-1AC0-4882-8BD2-1C49FFDDC64F}" uniqueName="13" name="OCHA_ADM2_PCODE" queryTableFieldId="13"/>
    <tableColumn id="14" xr3:uid="{AC306A00-9DDE-42F6-8EC9-F8512A388A20}" uniqueName="14" name="Woreda" queryTableFieldId="14"/>
    <tableColumn id="15" xr3:uid="{DFA9C024-A9E6-4A44-9944-9FF5C36AE942}" uniqueName="15" name="OCHA_ADM3_PCODE" queryTableFieldId="15"/>
    <tableColumn id="16" xr3:uid="{89148591-3ADB-4E11-B812-01DBE6DCBB96}" uniqueName="16" name="Kebele" queryTableFieldId="16"/>
    <tableColumn id="17" xr3:uid="{06D9DC65-7C21-46C2-914B-F1B7ECB50281}" uniqueName="17" name="AOR" queryTableFieldId="17"/>
    <tableColumn id="18" xr3:uid="{412DB4FC-D0CD-4180-A1C2-6FB03277D19F}" uniqueName="18" name="Lat" queryTableFieldId="18"/>
    <tableColumn id="19" xr3:uid="{E4B1CE25-C07B-4F8B-9401-D660EF32BD22}" uniqueName="19" name="Long" queryTableFieldId="19"/>
    <tableColumn id="20" xr3:uid="{502640AB-083B-4259-B302-A55B28CC5017}" uniqueName="20" name="Have Access?" queryTableFieldId="20"/>
    <tableColumn id="21" xr3:uid="{B675AB87-A9CE-4E21-8341-3EBB2782C87E}" uniqueName="21" name="CCCM Managed" queryTableFieldId="21"/>
    <tableColumn id="22" xr3:uid="{E681FB06-53A2-4681-84FD-BF955B7353A1}" uniqueName="22" name="CCCM Approach" queryTableFieldId="22"/>
    <tableColumn id="23" xr3:uid="{3CC9F4E5-6371-412E-A91F-50E05271A494}" uniqueName="23" name="CCCM Agency-2023" queryTableFieldId="23"/>
    <tableColumn id="24" xr3:uid="{D62C1824-96D4-43BD-AD08-7C6036F9370F}" uniqueName="24" name="Donor/Program Partner" queryTableFieldId="24"/>
    <tableColumn id="25" xr3:uid="{9B8BE3FB-70BD-429B-B2C0-5117DD434183}" uniqueName="25" name="CAMP MANAGER" queryTableFieldId="25"/>
    <tableColumn id="26" xr3:uid="{F2B75F45-E049-40BB-9D1F-0B0A93ED3134}" uniqueName="26" name="MOBILE" queryTableFieldId="26"/>
    <tableColumn id="27" xr3:uid="{F48BAEF6-F183-4C83-96C0-F9CB5C21CF0D}" uniqueName="27" name="Latest INDS" queryTableFieldId="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A2B8A8-63C0-4A40-8645-AA8695D2D654}" name="Gurmuu" displayName="Gurmuu" ref="A1:AB5" tableType="queryTable" totalsRowShown="0">
  <autoFilter ref="A1:AB5" xr:uid="{66A2B8A8-63C0-4A40-8645-AA8695D2D654}"/>
  <tableColumns count="28">
    <tableColumn id="1" xr3:uid="{8A6885C4-40AB-4C25-9F7B-147894270CCB}" uniqueName="1" name="CCCM Site ID" queryTableFieldId="1"/>
    <tableColumn id="2" xr3:uid="{D3C7CD9D-37E8-477C-90B4-EBAF540BC189}" uniqueName="2" name="CCCM Sited ID_x000a_New" queryTableFieldId="2"/>
    <tableColumn id="3" xr3:uid="{5FA402B1-68FF-4AE7-9BEF-C4782FF1684F}" uniqueName="3" name="DTM Site ID" queryTableFieldId="3"/>
    <tableColumn id="4" xr3:uid="{614CA851-BAB8-4240-BA65-28EFC61CC0EB}" uniqueName="4" name="Site Name" queryTableFieldId="4"/>
    <tableColumn id="5" xr3:uid="{02815826-7E5F-4C04-8AF6-9532024898E2}" uniqueName="5" name="Alternate Site Name" queryTableFieldId="5"/>
    <tableColumn id="6" xr3:uid="{C71754F9-83E5-45A4-8513-DD343F1AD39C}" uniqueName="6" name="Site Status" queryTableFieldId="6"/>
    <tableColumn id="7" xr3:uid="{C96BDFEB-3059-41AD-A718-E3DD27FF891C}" uniqueName="7" name="Site Open Date" queryTableFieldId="7"/>
    <tableColumn id="8" xr3:uid="{4BE704FB-570A-4D8F-81B5-F8875CEAD1CC}" uniqueName="8" name="Site Closing Date" queryTableFieldId="8"/>
    <tableColumn id="9" xr3:uid="{FEBF3747-9F9F-451D-B5B0-9E10D48B9850}" uniqueName="9" name="Settlement Type" queryTableFieldId="9"/>
    <tableColumn id="10" xr3:uid="{F3E60C6D-2808-43E1-82EF-3D7B46E59BFA}" uniqueName="10" name="Region" queryTableFieldId="10"/>
    <tableColumn id="11" xr3:uid="{E4EBA1F6-ABE9-4E99-B059-F4A045A4C475}" uniqueName="11" name="OCHA_Adm1_PCODE" queryTableFieldId="11"/>
    <tableColumn id="12" xr3:uid="{2DF93619-720E-4049-8813-325B801D5DF2}" uniqueName="12" name="Zone" queryTableFieldId="12"/>
    <tableColumn id="13" xr3:uid="{3659B9E7-D68B-4CD2-B908-4598C6A33E6A}" uniqueName="13" name="OCHA_ADM2_PCODE" queryTableFieldId="13"/>
    <tableColumn id="14" xr3:uid="{DFB38F52-584F-4506-9198-A3381D5A1BC5}" uniqueName="14" name="Woreda" queryTableFieldId="14"/>
    <tableColumn id="15" xr3:uid="{7D5E01AC-DC36-41CB-B01B-6AE824702625}" uniqueName="15" name="OCHA_ADM3_PCODE" queryTableFieldId="15"/>
    <tableColumn id="16" xr3:uid="{A2DDF221-5E15-47B8-82EC-2D39E4A3C4D8}" uniqueName="16" name="Kebele" queryTableFieldId="16"/>
    <tableColumn id="17" xr3:uid="{984A9B40-448B-4AC7-9E5A-6AF8CFD83505}" uniqueName="17" name="AOR" queryTableFieldId="17"/>
    <tableColumn id="18" xr3:uid="{D694513D-5708-47D7-9FE4-3A57620E9A56}" uniqueName="18" name="Lat" queryTableFieldId="18"/>
    <tableColumn id="19" xr3:uid="{E8C0DF0A-DF8C-4841-8BC8-70C4C442095F}" uniqueName="19" name="Long" queryTableFieldId="19"/>
    <tableColumn id="20" xr3:uid="{725F61E3-593D-4F63-9558-B2C058C43D9F}" uniqueName="20" name="Have Access?" queryTableFieldId="20"/>
    <tableColumn id="21" xr3:uid="{28704791-229E-4661-97A7-0E04ECAD5ABA}" uniqueName="21" name="CCCM Managed" queryTableFieldId="21"/>
    <tableColumn id="22" xr3:uid="{4E0434E1-2778-422D-8D5D-C9A831AE2584}" uniqueName="22" name="CCCM Approach" queryTableFieldId="22"/>
    <tableColumn id="23" xr3:uid="{089093E6-FE91-4FF4-9270-6A8812B22623}" uniqueName="23" name="CCCM Agency-2025" queryTableFieldId="23"/>
    <tableColumn id="24" xr3:uid="{F434A931-DF79-43C2-90D3-2B6C25E28D57}" uniqueName="24" name="Donor/Program Partner" queryTableFieldId="24"/>
    <tableColumn id="25" xr3:uid="{376B28D1-7446-406D-AF59-1CE823E833FD}" uniqueName="25" name="CAMP MANAGER" queryTableFieldId="25"/>
    <tableColumn id="26" xr3:uid="{FFB24504-F755-42B9-8D82-554F0D452B96}" uniqueName="26" name="MOBILE" queryTableFieldId="26"/>
    <tableColumn id="27" xr3:uid="{0E9B76FF-CE6F-47DA-AE4E-B83C7ECBD763}" uniqueName="27" name="Latest HHs" queryTableFieldId="27"/>
    <tableColumn id="28" xr3:uid="{FC1F7DB7-7B44-4C74-8B1B-D6A92928C518}" uniqueName="28" name="Latest INDs" queryTableField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27CDAA-E4D6-420B-9369-A72079008747}" name="Table9" displayName="Table9" ref="A14:AB18" totalsRowShown="0" headerRowBorderDxfId="77" tableBorderDxfId="76" totalsRowBorderDxfId="75">
  <autoFilter ref="A14:AB18" xr:uid="{1127CDAA-E4D6-420B-9369-A72079008747}"/>
  <tableColumns count="28">
    <tableColumn id="1" xr3:uid="{E954AD70-865E-4E50-A4E4-AFE48940513C}" name="CCCM Site ID" dataDxfId="74"/>
    <tableColumn id="2" xr3:uid="{1C685BEB-5A08-4EDC-B414-ACB7CC4A367F}" name="CCCM Sited ID_x000a_New" dataDxfId="73"/>
    <tableColumn id="3" xr3:uid="{A8C1E9D4-B0E9-41DD-BB89-B58FD7FFE6BA}" name="DTM Site ID" dataDxfId="72"/>
    <tableColumn id="4" xr3:uid="{CE04B016-AE9D-4FA4-AF96-B18421DEA186}" name="Site Name" dataDxfId="71"/>
    <tableColumn id="5" xr3:uid="{4A7F475B-6E52-4E4D-AD56-CD0920E3BB4C}" name="Alternate Site Name" dataDxfId="70"/>
    <tableColumn id="6" xr3:uid="{F31CD361-C41F-4DED-B4B0-EB4778BC0B0D}" name="Site Status" dataDxfId="69"/>
    <tableColumn id="7" xr3:uid="{205AC8C5-213C-437A-A89C-B9B97DDDC45D}" name="Site Open Date" dataDxfId="68"/>
    <tableColumn id="8" xr3:uid="{77C9E37F-1FC7-4617-B24B-5D9AE8E6CA33}" name="Site Closing Date" dataDxfId="67"/>
    <tableColumn id="9" xr3:uid="{7B6DE550-D8DB-4911-9773-E2DFE089FF8F}" name="Settlement Type" dataDxfId="66"/>
    <tableColumn id="10" xr3:uid="{2B4B4526-8B86-411F-B64C-CC1B5EEF87EB}" name="Region" dataDxfId="65"/>
    <tableColumn id="11" xr3:uid="{791FDAAF-8279-44E4-82F0-016FAE5D7067}" name="OCHA_Adm1_PCODE" dataDxfId="64"/>
    <tableColumn id="12" xr3:uid="{70862E7E-F105-4D30-AC07-229EC6717004}" name="Zone" dataDxfId="63"/>
    <tableColumn id="13" xr3:uid="{28CBF2D4-4CEC-4E05-8CE1-87C65B008C31}" name="OCHA_ADM2_PCODE" dataDxfId="62"/>
    <tableColumn id="14" xr3:uid="{817CC9FD-38F2-4B37-9FC9-0E26B72FF865}" name="Woreda" dataDxfId="61"/>
    <tableColumn id="15" xr3:uid="{CED68809-D0EF-4147-AC65-6F9E0C4B7FA3}" name="OCHA_ADM3_PCODE" dataDxfId="60"/>
    <tableColumn id="16" xr3:uid="{D87B4BBF-132A-4339-AB09-82FBF8A8877E}" name="Kebele" dataDxfId="59"/>
    <tableColumn id="17" xr3:uid="{94FABC26-CA86-4395-8013-F1CCBE26156E}" name="AOR" dataDxfId="58"/>
    <tableColumn id="18" xr3:uid="{56BAA1F2-6EF9-422B-B5AC-CBC2F341A954}" name="Lat" dataDxfId="57"/>
    <tableColumn id="19" xr3:uid="{EC172198-44DA-41F1-B8EF-2DC9F83D165A}" name="Long" dataDxfId="56"/>
    <tableColumn id="20" xr3:uid="{A32BE47A-66C6-46EB-98A7-7A098E2DE6A8}" name="Have Access?" dataDxfId="55"/>
    <tableColumn id="21" xr3:uid="{F3E17560-709C-4B97-9C6A-43052BCE36FC}" name="CCCM Managed" dataDxfId="54"/>
    <tableColumn id="22" xr3:uid="{037733D4-F511-48CC-8048-449B0070A996}" name="CCCM Approach" dataDxfId="53"/>
    <tableColumn id="23" xr3:uid="{1C020121-5618-460A-B3C8-D9446000DBDC}" name="CCCM Agency-2025" dataDxfId="52"/>
    <tableColumn id="24" xr3:uid="{6E93947D-BCDC-472A-A051-3FE90CD53A5A}" name="Donor/Program Partner" dataDxfId="51"/>
    <tableColumn id="25" xr3:uid="{F716A2A4-71E0-46A9-B2E8-3EF08E64995D}" name="CAMP MANAGER" dataDxfId="50"/>
    <tableColumn id="26" xr3:uid="{77F813B7-0626-4206-A8EA-B9E54CDD6074}" name="MOBILE" dataDxfId="49"/>
    <tableColumn id="27" xr3:uid="{F917AE50-1E85-4EDB-921A-D9DAF9E1A8D8}" name="Latest HHs" dataDxfId="48" dataCellStyle="Comma"/>
    <tableColumn id="28" xr3:uid="{E98B7C95-A0A0-428F-9E8E-9D01FEE101E9}" name="Latest INDs" dataDxfId="47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AB8ADF-10C2-4B1B-882F-0F173AA738A1}" name="IOM" displayName="IOM" ref="A1:AB33" tableType="queryTable" totalsRowShown="0">
  <autoFilter ref="A1:AB33" xr:uid="{6AAB8ADF-10C2-4B1B-882F-0F173AA738A1}"/>
  <tableColumns count="28">
    <tableColumn id="1" xr3:uid="{255B9D0E-BA63-494D-84B5-463478715F08}" uniqueName="1" name="CCCM Site ID" queryTableFieldId="1"/>
    <tableColumn id="2" xr3:uid="{AEE17C50-53AB-49B0-99CF-56E71233C1BE}" uniqueName="2" name="CCCM Sited ID_x000a_New" queryTableFieldId="2"/>
    <tableColumn id="3" xr3:uid="{8796F153-0CE0-4919-8FAD-1074E9B6D7AA}" uniqueName="3" name="DTM Site ID" queryTableFieldId="3"/>
    <tableColumn id="4" xr3:uid="{C448CD04-800A-4B81-BB5D-B9F9F25B255E}" uniqueName="4" name="Site Name" queryTableFieldId="4"/>
    <tableColumn id="5" xr3:uid="{AA889E81-6095-4F47-8855-2800AEFCBAF3}" uniqueName="5" name="Alternate Site Name" queryTableFieldId="5"/>
    <tableColumn id="6" xr3:uid="{21A743C7-AF3F-4AD3-A729-2ED392912167}" uniqueName="6" name="Site Status" queryTableFieldId="6"/>
    <tableColumn id="7" xr3:uid="{2FC02BD0-6959-4042-A014-971DB23AA617}" uniqueName="7" name="Site Open Date" queryTableFieldId="7"/>
    <tableColumn id="8" xr3:uid="{0550E8A4-C9C0-4A38-B032-864DB5219B94}" uniqueName="8" name="Site Closing Date" queryTableFieldId="8"/>
    <tableColumn id="9" xr3:uid="{7AB17B74-7A26-412D-A59E-BC112DC2A77D}" uniqueName="9" name="Settlement Type" queryTableFieldId="9"/>
    <tableColumn id="10" xr3:uid="{E999EFB8-363F-4D08-991D-C552F0A311A1}" uniqueName="10" name="Region" queryTableFieldId="10"/>
    <tableColumn id="11" xr3:uid="{1CBBA06D-D444-4252-8529-F2DB12D54AC3}" uniqueName="11" name="OCHA_Adm1_PCODE" queryTableFieldId="11"/>
    <tableColumn id="12" xr3:uid="{D2D56B2F-E9B1-4FFE-9964-03AEA92E860E}" uniqueName="12" name="Zone" queryTableFieldId="12"/>
    <tableColumn id="13" xr3:uid="{9A0D9CC1-4D6B-44C3-87E2-4AD116EB34B7}" uniqueName="13" name="OCHA_ADM2_PCODE" queryTableFieldId="13"/>
    <tableColumn id="14" xr3:uid="{E2E9DBCE-93D5-4E53-BA41-9C3616B6944D}" uniqueName="14" name="Woreda" queryTableFieldId="14"/>
    <tableColumn id="15" xr3:uid="{D3090A1E-8D4C-4957-961D-B8D3C0642BB9}" uniqueName="15" name="OCHA_ADM3_PCODE" queryTableFieldId="15"/>
    <tableColumn id="16" xr3:uid="{8F14FA7C-2C53-4499-833F-8C63D0260889}" uniqueName="16" name="Kebele" queryTableFieldId="16"/>
    <tableColumn id="17" xr3:uid="{B789CC0B-A1E5-4FDB-B968-F7444ABE26F6}" uniqueName="17" name="AOR" queryTableFieldId="17"/>
    <tableColumn id="18" xr3:uid="{C232E98B-9DF1-4F76-807B-0E999D6BCCDE}" uniqueName="18" name="Lat" queryTableFieldId="18"/>
    <tableColumn id="19" xr3:uid="{92EFC5A9-B438-4168-A539-BC7E25750E66}" uniqueName="19" name="Long" queryTableFieldId="19"/>
    <tableColumn id="20" xr3:uid="{CA84521C-DE17-486B-BBD7-530A28521AF0}" uniqueName="20" name="Have Access?" queryTableFieldId="20"/>
    <tableColumn id="21" xr3:uid="{B07DA616-91F3-4696-A511-CF73959DB2EA}" uniqueName="21" name="CCCM Managed" queryTableFieldId="21"/>
    <tableColumn id="22" xr3:uid="{D0EFD27F-7E50-4614-B446-2ABEDE222D64}" uniqueName="22" name="CCCM Approach" queryTableFieldId="22"/>
    <tableColumn id="23" xr3:uid="{3FBF117F-EA64-4B26-96A2-C2D9441E2C93}" uniqueName="23" name="CCCM Agency-2025" queryTableFieldId="23"/>
    <tableColumn id="24" xr3:uid="{365CFD8D-785C-4BEF-9F44-798D4EFC8B20}" uniqueName="24" name="Donor/Program Partner" queryTableFieldId="24"/>
    <tableColumn id="25" xr3:uid="{A4490B8D-0657-4070-83EB-EB0C448ECA54}" uniqueName="25" name="CAMP MANAGER" queryTableFieldId="25"/>
    <tableColumn id="26" xr3:uid="{FD21F2A6-F64A-4A4A-9D4E-14A22403D931}" uniqueName="26" name="MOBILE" queryTableFieldId="26"/>
    <tableColumn id="27" xr3:uid="{633B14BC-6E81-4CA0-A8AD-34FF443AA132}" uniqueName="27" name="Latest HHs" queryTableFieldId="27"/>
    <tableColumn id="28" xr3:uid="{43DA9729-4CD1-44BD-963F-260613A52248}" uniqueName="28" name="Latest INDs" queryTableField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9DC6135-830F-4F3E-A2DB-87E643193686}" name="OSSHD" displayName="OSSHD" ref="A1:AC28" tableType="queryTable" totalsRowShown="0">
  <autoFilter ref="A1:AC28" xr:uid="{39DC6135-830F-4F3E-A2DB-87E643193686}"/>
  <tableColumns count="29">
    <tableColumn id="1" xr3:uid="{DDF3702F-6A13-4A31-8F35-06644D1A7F1E}" uniqueName="1" name="CCCM Site ID" queryTableFieldId="1"/>
    <tableColumn id="2" xr3:uid="{8E4ED97B-7DE3-4E12-9652-784D76C4F6F7}" uniqueName="2" name="CCCM Sited ID_x000a_New" queryTableFieldId="2"/>
    <tableColumn id="3" xr3:uid="{8F5904BF-BD71-4927-9C27-C8E9D6F68129}" uniqueName="3" name="DTM Site ID" queryTableFieldId="3"/>
    <tableColumn id="4" xr3:uid="{8D73F735-C225-489D-B5A5-27EB303463EF}" uniqueName="4" name="Site Name" queryTableFieldId="4"/>
    <tableColumn id="5" xr3:uid="{A7B62445-704F-4EEE-AF49-5F6E7F7381ED}" uniqueName="5" name="Alternate Site Name" queryTableFieldId="5"/>
    <tableColumn id="6" xr3:uid="{394CC71C-0CCD-4F7E-85FA-05AC0C4725BB}" uniqueName="6" name="Site Status" queryTableFieldId="6"/>
    <tableColumn id="7" xr3:uid="{09DF373A-B904-4C24-B080-5D4957200B5C}" uniqueName="7" name="Site Open Date" queryTableFieldId="7"/>
    <tableColumn id="8" xr3:uid="{68580E0E-9BE8-4010-A489-C361AE45A789}" uniqueName="8" name="Site Closing Date" queryTableFieldId="8"/>
    <tableColumn id="9" xr3:uid="{0306A906-7F29-4899-A47D-08B3C1E6123A}" uniqueName="9" name="Settlement Type" queryTableFieldId="9"/>
    <tableColumn id="10" xr3:uid="{9E1D7547-64ED-4B65-B19E-95503B65EF29}" uniqueName="10" name="Region" queryTableFieldId="10"/>
    <tableColumn id="11" xr3:uid="{A18A1D52-9CA1-44D5-A828-D71FB55C5CA0}" uniqueName="11" name="OCHA_Adm1_PCODE" queryTableFieldId="11"/>
    <tableColumn id="12" xr3:uid="{1A5283D6-882C-42A0-9DDF-FF1D6ECBBFE3}" uniqueName="12" name="Zone" queryTableFieldId="12"/>
    <tableColumn id="13" xr3:uid="{3312C2C0-C5D4-4CD4-84F3-EABD3F77E394}" uniqueName="13" name="OCHA_ADM2_PCODE" queryTableFieldId="13"/>
    <tableColumn id="14" xr3:uid="{2CA093C6-5BD3-47A0-B27D-F4BA7380A812}" uniqueName="14" name="Woreda" queryTableFieldId="14"/>
    <tableColumn id="15" xr3:uid="{53540602-42EF-470C-89BC-08EBE5334D92}" uniqueName="15" name="OCHA_ADM3_PCODE" queryTableFieldId="15"/>
    <tableColumn id="16" xr3:uid="{C82DCC26-6D15-4DA0-9A65-93D24226C0D9}" uniqueName="16" name="Kebele" queryTableFieldId="16"/>
    <tableColumn id="17" xr3:uid="{CAB2677F-2F10-4978-9AC1-939BCDD090C9}" uniqueName="17" name="AOR" queryTableFieldId="17"/>
    <tableColumn id="18" xr3:uid="{D2C9769E-F2BA-446A-A37F-BFF150734146}" uniqueName="18" name="Lat" queryTableFieldId="18"/>
    <tableColumn id="19" xr3:uid="{5D886BF6-0C31-4FB3-81B0-4B2B21784E22}" uniqueName="19" name="Long" queryTableFieldId="19"/>
    <tableColumn id="20" xr3:uid="{AF88349D-079B-4703-BB4B-4ED9406938A0}" uniqueName="20" name="Have Access?" queryTableFieldId="20"/>
    <tableColumn id="21" xr3:uid="{55AAF13A-0DA7-42B6-933F-5C2C732F4F74}" uniqueName="21" name="CCCM Managed" queryTableFieldId="21"/>
    <tableColumn id="22" xr3:uid="{5BA94ED1-8F87-4294-8773-3C5EF2D76F53}" uniqueName="22" name="CCCM Approach" queryTableFieldId="22"/>
    <tableColumn id="23" xr3:uid="{2246839D-A2A0-49C0-8584-EB5437C1CE60}" uniqueName="23" name="CCCM Agency-2025" queryTableFieldId="23"/>
    <tableColumn id="24" xr3:uid="{CCC375E6-FA81-493D-B96F-BF0F663345DC}" uniqueName="24" name="Donor/Program Partner" queryTableFieldId="24"/>
    <tableColumn id="25" xr3:uid="{8D680672-9939-416B-BD33-6608774073CB}" uniqueName="25" name="CAMP MANAGER" queryTableFieldId="25"/>
    <tableColumn id="26" xr3:uid="{9750B8C8-F9CF-4B48-9F7A-906045ED4D14}" uniqueName="26" name="MOBILE" queryTableFieldId="26"/>
    <tableColumn id="27" xr3:uid="{D777C15B-A73A-49F6-9E85-CEBAF39A1213}" uniqueName="27" name="Latest HHs" queryTableFieldId="27"/>
    <tableColumn id="28" xr3:uid="{50E9B167-1CB2-4FDE-9D63-C9C2014765D2}" uniqueName="28" name="Latest INDs" queryTableFieldId="28"/>
    <tableColumn id="29" xr3:uid="{9B524B77-AD90-47D3-BAA6-366708727F99}" uniqueName="29" name="Remarks" queryTableFieldId="2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3846B8E-736B-4C52-8A92-C8AFC706B58E}" name="PAD" displayName="PAD" ref="A1:AC2" tableType="queryTable" totalsRowShown="0">
  <autoFilter ref="A1:AC2" xr:uid="{53846B8E-736B-4C52-8A92-C8AFC706B58E}"/>
  <tableColumns count="29">
    <tableColumn id="1" xr3:uid="{4C814D14-11DE-4DC4-874F-266F6BE1EDBD}" uniqueName="1" name="CCCM Site ID" queryTableFieldId="1"/>
    <tableColumn id="2" xr3:uid="{D6708BAE-49DF-408B-AE81-F00664331B2B}" uniqueName="2" name="CCCM Sited ID_x000a_New" queryTableFieldId="2"/>
    <tableColumn id="3" xr3:uid="{2BF425A4-39E1-4729-A071-B468477D7C11}" uniqueName="3" name="DTM Site ID" queryTableFieldId="3"/>
    <tableColumn id="4" xr3:uid="{C3179D36-961B-4DE4-9CF6-AC8758CF4121}" uniqueName="4" name="Site Name" queryTableFieldId="4"/>
    <tableColumn id="5" xr3:uid="{1634DBA7-05A8-4C50-A96C-098051589140}" uniqueName="5" name="Alternate Site Name" queryTableFieldId="5"/>
    <tableColumn id="6" xr3:uid="{EC6D5431-2777-44B9-B81C-644F8FBFC8E3}" uniqueName="6" name="Site Status" queryTableFieldId="6"/>
    <tableColumn id="7" xr3:uid="{C04D58C8-4264-4ED5-ADC6-CB45F7E22D34}" uniqueName="7" name="Site Open Date" queryTableFieldId="7"/>
    <tableColumn id="8" xr3:uid="{527C65CF-B746-48BD-8BE9-01B56B183148}" uniqueName="8" name="Site Closing Date" queryTableFieldId="8"/>
    <tableColumn id="9" xr3:uid="{AF5F2E77-6929-46F0-B7DC-81E90B7688BA}" uniqueName="9" name="Settlement Type" queryTableFieldId="9"/>
    <tableColumn id="10" xr3:uid="{D647D6F6-8919-4E33-ACF6-88CA05D27D47}" uniqueName="10" name="Region" queryTableFieldId="10"/>
    <tableColumn id="11" xr3:uid="{55767400-08A8-44A2-A7FC-AFFBB5DFB004}" uniqueName="11" name="OCHA_Adm1_PCODE" queryTableFieldId="11"/>
    <tableColumn id="12" xr3:uid="{66D3B722-57D1-4C95-A38E-721C80BB3F1F}" uniqueName="12" name="Zone" queryTableFieldId="12"/>
    <tableColumn id="13" xr3:uid="{DD875CF5-D6D9-4336-8235-91091301F9FC}" uniqueName="13" name="OCHA_ADM2_PCODE" queryTableFieldId="13"/>
    <tableColumn id="14" xr3:uid="{78295E69-D111-4A95-BA69-CA3214BCC136}" uniqueName="14" name="Woreda" queryTableFieldId="14"/>
    <tableColumn id="15" xr3:uid="{0BD558A3-BB3D-4403-8FDB-2FF00CF83EE7}" uniqueName="15" name="OCHA_ADM3_PCODE" queryTableFieldId="15"/>
    <tableColumn id="16" xr3:uid="{21459AB2-E59A-4DF4-B8A4-E6BB4EFC3FAE}" uniqueName="16" name="Kebele" queryTableFieldId="16"/>
    <tableColumn id="17" xr3:uid="{9D0044C7-3914-4B24-9B98-B63253488E9D}" uniqueName="17" name="AOR" queryTableFieldId="17"/>
    <tableColumn id="18" xr3:uid="{8C7F2496-DAEE-4591-92BE-B0E6B142BF9A}" uniqueName="18" name="Lat" queryTableFieldId="18"/>
    <tableColumn id="19" xr3:uid="{3ADD238E-5003-4187-8407-37BEA6FE0741}" uniqueName="19" name="Long" queryTableFieldId="19"/>
    <tableColumn id="20" xr3:uid="{89764438-5927-4E14-B881-348D75609FE4}" uniqueName="20" name="Have Access?" queryTableFieldId="20"/>
    <tableColumn id="21" xr3:uid="{97826D55-63C2-47C4-9D72-5DB08A14D9CE}" uniqueName="21" name="CCCM Managed" queryTableFieldId="21"/>
    <tableColumn id="22" xr3:uid="{7AED5DB7-74FE-4314-A68F-E13F6A69E93D}" uniqueName="22" name="CCCM Approach" queryTableFieldId="22"/>
    <tableColumn id="23" xr3:uid="{93E46EBE-3314-4FC1-8FD7-BC9CD6656EA7}" uniqueName="23" name="CCCM Agency-2025" queryTableFieldId="23"/>
    <tableColumn id="24" xr3:uid="{9FD31122-D4FA-4A1D-B9CE-A18889FB1584}" uniqueName="24" name="Donor/Program Partner" queryTableFieldId="24"/>
    <tableColumn id="25" xr3:uid="{21CCFBCB-55BF-4186-ACFC-D962DAFDC4CB}" uniqueName="25" name="CAMP MANAGER" queryTableFieldId="25"/>
    <tableColumn id="26" xr3:uid="{E521F879-A8BA-4D2B-A8F1-549FE1101788}" uniqueName="26" name="MOBILE" queryTableFieldId="26"/>
    <tableColumn id="27" xr3:uid="{7882C5F6-1746-48CC-B953-135BF3269706}" uniqueName="27" name="Latest HHs" queryTableFieldId="27"/>
    <tableColumn id="28" xr3:uid="{8BA74EC8-73D3-49E2-8D4A-F4A5FD285F10}" uniqueName="28" name="Latest INDs" queryTableFieldId="28"/>
    <tableColumn id="29" xr3:uid="{562FE403-8164-4687-BDA9-4AE617A7D54F}" uniqueName="29" name="Remarks" queryTableFieldId="2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B765BE2-7E00-4B25-927C-894D9C7999B6}" name="Table15" displayName="Table15" ref="A14:AC15" totalsRowShown="0" headerRowDxfId="46" headerRowBorderDxfId="45" tableBorderDxfId="44" totalsRowBorderDxfId="43" headerRowCellStyle="Comma">
  <autoFilter ref="A14:AC15" xr:uid="{BB765BE2-7E00-4B25-927C-894D9C7999B6}"/>
  <tableColumns count="29">
    <tableColumn id="1" xr3:uid="{210F627F-FF23-458A-BD8D-FC359D9BEAB8}" name="CCCM Site ID" dataDxfId="42"/>
    <tableColumn id="2" xr3:uid="{BEDC9CEC-ADF6-455D-8AF9-82D4D28D734D}" name="CCCM Sited ID_x000a_New" dataDxfId="41"/>
    <tableColumn id="3" xr3:uid="{C47131CA-C387-4BD2-9C2B-02A8B11F60BA}" name="DTM Site ID" dataDxfId="40"/>
    <tableColumn id="4" xr3:uid="{E1F9D2A8-0E9E-4C47-B391-2B8D6C5B30F9}" name="Site Name" dataDxfId="39"/>
    <tableColumn id="5" xr3:uid="{D5B1CC38-F2B6-4EE7-B991-1D7C07A664B6}" name="Alternate Site Name" dataDxfId="38"/>
    <tableColumn id="6" xr3:uid="{3A168625-4481-4C9E-BE28-A478308E55BB}" name="Site Status" dataDxfId="37"/>
    <tableColumn id="7" xr3:uid="{DBFB7026-2680-4069-AA17-0FCB751C5A39}" name="Site Open Date" dataDxfId="36"/>
    <tableColumn id="8" xr3:uid="{BE1BF529-14B5-4E87-8145-1F6C1997C9FE}" name="Site Closing Date" dataDxfId="35"/>
    <tableColumn id="9" xr3:uid="{22F70AB8-F55F-4C15-BAE0-2AE2828E8B37}" name="Settlement Type" dataDxfId="34"/>
    <tableColumn id="10" xr3:uid="{32575427-3FEC-4098-9966-502CCCFADA79}" name="Region" dataDxfId="33"/>
    <tableColumn id="11" xr3:uid="{0212B64B-1556-4518-A655-679610DEFEF3}" name="OCHA_Adm1_PCODE" dataDxfId="32"/>
    <tableColumn id="12" xr3:uid="{FC7BA2CF-DD73-448C-A19E-3CD8B6E9D5A9}" name="Zone" dataDxfId="31"/>
    <tableColumn id="13" xr3:uid="{E133ED39-FB43-48AF-91C7-DB8CC7C5EA2B}" name="OCHA_ADM2_PCODE" dataDxfId="30"/>
    <tableColumn id="14" xr3:uid="{6199120A-56B5-4728-8956-5F51C8E4B3FB}" name="Woreda" dataDxfId="29"/>
    <tableColumn id="15" xr3:uid="{B86BD32B-FE02-4308-9A9A-FDE58DE9F24C}" name="OCHA_ADM3_PCODE" dataDxfId="28"/>
    <tableColumn id="16" xr3:uid="{E059D675-71CC-41B7-88A5-3C6AF9953963}" name="Kebele" dataDxfId="27"/>
    <tableColumn id="17" xr3:uid="{43545AFD-A8E5-4BA3-8A53-7851D1541FCD}" name="AOR" dataDxfId="26"/>
    <tableColumn id="18" xr3:uid="{EBF4AD43-706D-43BE-8010-4CCF5463F901}" name="Lat" dataDxfId="25"/>
    <tableColumn id="19" xr3:uid="{C99FB0B4-9AB3-4C31-AF8D-3535C0C3D953}" name="Long" dataDxfId="24"/>
    <tableColumn id="20" xr3:uid="{51B5B713-DC75-4593-90C2-4762A5FB33D3}" name="Have Access?" dataDxfId="23"/>
    <tableColumn id="21" xr3:uid="{9C111BB4-4496-4C40-A019-84352CEED379}" name="CCCM Managed" dataDxfId="22"/>
    <tableColumn id="22" xr3:uid="{C968124A-D5FD-4CA7-934C-D93299CC2C60}" name="CCCM Approach" dataDxfId="21"/>
    <tableColumn id="23" xr3:uid="{773B6BF5-4282-48D2-BE3E-9DF855AFF652}" name="CCCM Agency-2025" dataDxfId="20"/>
    <tableColumn id="24" xr3:uid="{5753989A-9ADB-4728-8A27-60225E18A932}" name="Donor/Program Partner" dataDxfId="19"/>
    <tableColumn id="25" xr3:uid="{E6D70F2B-011C-4A72-8BE0-09260F70EAD0}" name="CAMP MANAGER" dataDxfId="18"/>
    <tableColumn id="26" xr3:uid="{8ADAC7C2-31EF-4E1A-8BF4-8BBC63E83B5E}" name="MOBILE" dataDxfId="17"/>
    <tableColumn id="27" xr3:uid="{27B640AC-9602-45B6-ABB8-7BADC1FC38C4}" name="Latest HHs" dataDxfId="16" dataCellStyle="Comma"/>
    <tableColumn id="28" xr3:uid="{C7AAE80F-203B-45F2-AEA9-1AC29955D9E1}" name="Latest INDs" dataDxfId="15" dataCellStyle="Comma"/>
    <tableColumn id="29" xr3:uid="{25BE7399-E972-458F-AC0D-48AD83228DCB}" name="Remarks" dataDxfId="14" dataCellStyle="Comm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9DA3C62-78D8-4881-AE5A-AC8183FEC0B3}" name="UNHCR" displayName="UNHCR" ref="A1:AC5" tableType="queryTable" totalsRowShown="0">
  <autoFilter ref="A1:AC5" xr:uid="{19DA3C62-78D8-4881-AE5A-AC8183FEC0B3}"/>
  <tableColumns count="29">
    <tableColumn id="1" xr3:uid="{AAE782C2-50B8-4B01-AE39-9176B3EF95AA}" uniqueName="1" name="CCCM Site ID" queryTableFieldId="1"/>
    <tableColumn id="2" xr3:uid="{43029E03-89CC-4529-BFD5-38DC4B5D4B21}" uniqueName="2" name="CCCM Sited ID_x000a_New" queryTableFieldId="2"/>
    <tableColumn id="3" xr3:uid="{56925764-B5DC-4DDF-A507-CA83EFB491C3}" uniqueName="3" name="DTM Site ID" queryTableFieldId="3"/>
    <tableColumn id="4" xr3:uid="{EA902D86-A6BB-4A68-ACBC-59687378FACD}" uniqueName="4" name="Site Name" queryTableFieldId="4"/>
    <tableColumn id="5" xr3:uid="{0BF8AC3F-EAB8-4E43-A3F4-113ADC29206F}" uniqueName="5" name="Alternate Site Name" queryTableFieldId="5"/>
    <tableColumn id="6" xr3:uid="{549D6416-D6B2-4151-B23C-12D1C0597005}" uniqueName="6" name="Site Status" queryTableFieldId="6"/>
    <tableColumn id="7" xr3:uid="{7D1E1674-D558-464F-B5FE-9B53F73F4C4C}" uniqueName="7" name="Site Open Date" queryTableFieldId="7"/>
    <tableColumn id="8" xr3:uid="{A552844A-18BE-444A-98E4-3A593BCCC225}" uniqueName="8" name="Site Closing Date" queryTableFieldId="8"/>
    <tableColumn id="9" xr3:uid="{63349D97-06B7-4D3C-9EB7-9F45289C5BCF}" uniqueName="9" name="Settlement Type" queryTableFieldId="9"/>
    <tableColumn id="10" xr3:uid="{37C8302B-10F2-4AD2-8D0A-A94F4064ADD8}" uniqueName="10" name="Region" queryTableFieldId="10"/>
    <tableColumn id="11" xr3:uid="{69149B83-23FB-4D9F-9B0A-583B48E60CE5}" uniqueName="11" name="OCHA_Adm1_PCODE" queryTableFieldId="11"/>
    <tableColumn id="12" xr3:uid="{5C75FD41-FB69-4411-B768-F14E8382DAE1}" uniqueName="12" name="Zone" queryTableFieldId="12"/>
    <tableColumn id="13" xr3:uid="{2223CA3A-27ED-44C2-8830-60691D6A89DE}" uniqueName="13" name="OCHA_ADM2_PCODE" queryTableFieldId="13"/>
    <tableColumn id="14" xr3:uid="{6DE04850-7E58-47E1-A47F-E9C45CE5B31C}" uniqueName="14" name="Woreda" queryTableFieldId="14"/>
    <tableColumn id="15" xr3:uid="{73FBDDB0-2177-4C47-ADDF-EC00C4DB6C17}" uniqueName="15" name="OCHA_ADM3_PCODE" queryTableFieldId="15"/>
    <tableColumn id="16" xr3:uid="{07A34BE3-D4A1-4ADA-8B47-B75AA5E16A69}" uniqueName="16" name="Kebele" queryTableFieldId="16"/>
    <tableColumn id="17" xr3:uid="{999B8655-131D-461A-9FE4-61CCD4492AAF}" uniqueName="17" name="AOR" queryTableFieldId="17"/>
    <tableColumn id="18" xr3:uid="{7873D12B-7DC7-45F7-A432-145546787670}" uniqueName="18" name="Lat" queryTableFieldId="18"/>
    <tableColumn id="19" xr3:uid="{3C5F555E-0DFB-4A3F-925B-083AC8DC21FE}" uniqueName="19" name="Long" queryTableFieldId="19"/>
    <tableColumn id="20" xr3:uid="{A0871238-DE15-48B2-A29E-73C3F2C158A5}" uniqueName="20" name="Have Access?" queryTableFieldId="20"/>
    <tableColumn id="21" xr3:uid="{C469DE31-DA23-48A9-8E6E-732078667770}" uniqueName="21" name="CCCM Managed" queryTableFieldId="21"/>
    <tableColumn id="22" xr3:uid="{80AB3325-A54C-4030-8662-728664716024}" uniqueName="22" name="CCCM Approach" queryTableFieldId="22"/>
    <tableColumn id="23" xr3:uid="{261AEEE5-F340-48FC-91C9-2667861632DD}" uniqueName="23" name="CCCM Agency-2023" queryTableFieldId="23"/>
    <tableColumn id="24" xr3:uid="{94BF7110-2088-41D3-94B1-F85863094B63}" uniqueName="24" name="Donor/Program Partner" queryTableFieldId="24"/>
    <tableColumn id="25" xr3:uid="{0F560074-D385-46C8-9695-EA90C19D0EC6}" uniqueName="25" name="CAMP MANAGER" queryTableFieldId="25"/>
    <tableColumn id="26" xr3:uid="{471A53CC-A7E1-4E2C-8360-C48032C4184B}" uniqueName="26" name="MOBILE" queryTableFieldId="26"/>
    <tableColumn id="27" xr3:uid="{152BB5E0-A318-460C-83DF-BEFF37D7A970}" uniqueName="27" name="Latest HHs" queryTableFieldId="27"/>
    <tableColumn id="28" xr3:uid="{434B0574-7CE5-485B-BB44-C63958062AAD}" uniqueName="28" name="Latest INDs" queryTableFieldId="28"/>
    <tableColumn id="29" xr3:uid="{FBB5333C-0204-4E33-98AE-E28F25BAB34C}" uniqueName="29" name="Remarks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BF0D-05DB-40BA-AF1C-CCA9A0202269}">
  <dimension ref="A1:Z73"/>
  <sheetViews>
    <sheetView tabSelected="1" workbookViewId="0">
      <selection activeCell="D13" sqref="D13"/>
    </sheetView>
  </sheetViews>
  <sheetFormatPr defaultRowHeight="15.5" x14ac:dyDescent="0.35"/>
  <cols>
    <col min="1" max="1" width="16.08203125" customWidth="1"/>
    <col min="2" max="2" width="20.58203125" customWidth="1"/>
    <col min="3" max="3" width="12" customWidth="1"/>
    <col min="4" max="4" width="45.83203125" customWidth="1"/>
    <col min="6" max="6" width="11.5" customWidth="1"/>
    <col min="7" max="7" width="15.08203125" customWidth="1"/>
    <col min="8" max="8" width="12.08203125" customWidth="1"/>
    <col min="9" max="9" width="16" customWidth="1"/>
    <col min="10" max="10" width="17.33203125" customWidth="1"/>
    <col min="11" max="11" width="18.58203125" customWidth="1"/>
    <col min="12" max="12" width="21.25" customWidth="1"/>
    <col min="13" max="13" width="20.83203125" customWidth="1"/>
    <col min="14" max="14" width="33.83203125" customWidth="1"/>
    <col min="15" max="15" width="21.08203125" customWidth="1"/>
    <col min="16" max="16" width="23.08203125" customWidth="1"/>
    <col min="17" max="17" width="21.08203125" customWidth="1"/>
    <col min="18" max="18" width="20.83203125" customWidth="1"/>
    <col min="19" max="19" width="15.75" customWidth="1"/>
    <col min="20" max="20" width="21.83203125" bestFit="1" customWidth="1"/>
    <col min="21" max="21" width="11.83203125" customWidth="1"/>
    <col min="22" max="22" width="15.33203125" customWidth="1"/>
    <col min="23" max="23" width="16.33203125" customWidth="1"/>
    <col min="24" max="24" width="13.08203125" customWidth="1"/>
    <col min="25" max="25" width="10.83203125" bestFit="1" customWidth="1"/>
    <col min="26" max="26" width="11.83203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571</v>
      </c>
      <c r="Y1" t="s">
        <v>572</v>
      </c>
      <c r="Z1" t="s">
        <v>553</v>
      </c>
    </row>
    <row r="2" spans="1:26" x14ac:dyDescent="0.35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27</v>
      </c>
      <c r="G2" s="34">
        <v>44298</v>
      </c>
      <c r="I2" t="s">
        <v>28</v>
      </c>
      <c r="J2" t="s">
        <v>140</v>
      </c>
      <c r="K2" t="s">
        <v>141</v>
      </c>
      <c r="L2" t="s">
        <v>142</v>
      </c>
      <c r="M2" t="s">
        <v>143</v>
      </c>
      <c r="N2" t="s">
        <v>614</v>
      </c>
      <c r="O2" t="s">
        <v>144</v>
      </c>
      <c r="P2" t="s">
        <v>156</v>
      </c>
      <c r="R2" s="35">
        <v>13.4961</v>
      </c>
      <c r="S2" s="35">
        <v>39.4773</v>
      </c>
      <c r="T2" t="s">
        <v>35</v>
      </c>
      <c r="U2" t="s">
        <v>36</v>
      </c>
      <c r="W2" t="s">
        <v>157</v>
      </c>
      <c r="X2">
        <v>4414</v>
      </c>
      <c r="Y2">
        <v>19470</v>
      </c>
    </row>
    <row r="3" spans="1:26" x14ac:dyDescent="0.35">
      <c r="A3" t="s">
        <v>158</v>
      </c>
      <c r="B3" t="s">
        <v>159</v>
      </c>
      <c r="C3" t="s">
        <v>160</v>
      </c>
      <c r="D3" t="s">
        <v>161</v>
      </c>
      <c r="F3" t="s">
        <v>27</v>
      </c>
      <c r="G3" s="34">
        <v>44153</v>
      </c>
      <c r="I3" t="s">
        <v>28</v>
      </c>
      <c r="J3" t="s">
        <v>140</v>
      </c>
      <c r="K3" t="s">
        <v>141</v>
      </c>
      <c r="L3" t="s">
        <v>142</v>
      </c>
      <c r="M3" t="s">
        <v>143</v>
      </c>
      <c r="N3" t="s">
        <v>619</v>
      </c>
      <c r="O3" t="s">
        <v>162</v>
      </c>
      <c r="P3" t="s">
        <v>163</v>
      </c>
      <c r="R3" s="35">
        <v>14.1029</v>
      </c>
      <c r="S3" s="35">
        <v>38.287500000000001</v>
      </c>
      <c r="T3" t="s">
        <v>35</v>
      </c>
      <c r="U3" t="s">
        <v>36</v>
      </c>
      <c r="W3" t="s">
        <v>157</v>
      </c>
      <c r="X3">
        <v>1007</v>
      </c>
      <c r="Y3">
        <v>6719</v>
      </c>
    </row>
    <row r="4" spans="1:26" x14ac:dyDescent="0.35">
      <c r="A4" t="s">
        <v>164</v>
      </c>
      <c r="B4" t="s">
        <v>165</v>
      </c>
      <c r="C4" t="s">
        <v>166</v>
      </c>
      <c r="D4" t="s">
        <v>709</v>
      </c>
      <c r="E4" t="s">
        <v>562</v>
      </c>
      <c r="F4" t="s">
        <v>27</v>
      </c>
      <c r="G4" s="34">
        <v>44901</v>
      </c>
      <c r="I4" t="s">
        <v>53</v>
      </c>
      <c r="J4" t="s">
        <v>140</v>
      </c>
      <c r="K4" t="s">
        <v>141</v>
      </c>
      <c r="L4" t="s">
        <v>146</v>
      </c>
      <c r="M4" t="s">
        <v>147</v>
      </c>
      <c r="N4" t="s">
        <v>167</v>
      </c>
      <c r="O4" t="s">
        <v>168</v>
      </c>
      <c r="P4" t="s">
        <v>156</v>
      </c>
      <c r="Q4" t="s">
        <v>177</v>
      </c>
      <c r="R4" s="35">
        <v>14.3751</v>
      </c>
      <c r="S4" s="35">
        <v>37.770699999999998</v>
      </c>
      <c r="T4" t="s">
        <v>35</v>
      </c>
      <c r="U4" t="s">
        <v>36</v>
      </c>
      <c r="W4" t="s">
        <v>157</v>
      </c>
      <c r="X4">
        <v>2180</v>
      </c>
      <c r="Y4">
        <v>7979</v>
      </c>
    </row>
    <row r="5" spans="1:26" x14ac:dyDescent="0.35">
      <c r="A5" t="s">
        <v>683</v>
      </c>
      <c r="B5" t="s">
        <v>684</v>
      </c>
      <c r="D5" t="s">
        <v>590</v>
      </c>
      <c r="F5" t="s">
        <v>27</v>
      </c>
      <c r="G5" s="34">
        <v>45421</v>
      </c>
      <c r="I5" t="s">
        <v>369</v>
      </c>
      <c r="J5" t="s">
        <v>140</v>
      </c>
      <c r="K5" t="s">
        <v>141</v>
      </c>
      <c r="L5" t="s">
        <v>146</v>
      </c>
      <c r="M5" t="s">
        <v>147</v>
      </c>
      <c r="N5" t="s">
        <v>174</v>
      </c>
      <c r="O5" t="s">
        <v>175</v>
      </c>
      <c r="P5" t="s">
        <v>591</v>
      </c>
      <c r="Q5" t="s">
        <v>177</v>
      </c>
      <c r="R5" s="35">
        <v>14.1</v>
      </c>
      <c r="S5" s="35">
        <v>38.229199999999999</v>
      </c>
      <c r="T5" t="s">
        <v>35</v>
      </c>
      <c r="U5" t="s">
        <v>36</v>
      </c>
      <c r="W5" t="s">
        <v>54</v>
      </c>
      <c r="X5">
        <v>217</v>
      </c>
      <c r="Y5">
        <v>1159</v>
      </c>
    </row>
    <row r="6" spans="1:26" x14ac:dyDescent="0.35">
      <c r="A6" t="s">
        <v>178</v>
      </c>
      <c r="B6" t="s">
        <v>179</v>
      </c>
      <c r="C6" t="s">
        <v>180</v>
      </c>
      <c r="D6" t="s">
        <v>181</v>
      </c>
      <c r="E6" t="s">
        <v>182</v>
      </c>
      <c r="F6" t="s">
        <v>27</v>
      </c>
      <c r="G6" s="34">
        <v>44890</v>
      </c>
      <c r="I6" t="s">
        <v>28</v>
      </c>
      <c r="J6" t="s">
        <v>140</v>
      </c>
      <c r="K6" t="s">
        <v>141</v>
      </c>
      <c r="L6" t="s">
        <v>145</v>
      </c>
      <c r="M6" t="s">
        <v>183</v>
      </c>
      <c r="N6" t="s">
        <v>184</v>
      </c>
      <c r="O6" t="s">
        <v>535</v>
      </c>
      <c r="Q6" t="s">
        <v>145</v>
      </c>
      <c r="R6" s="35">
        <v>13.4725</v>
      </c>
      <c r="S6" s="35">
        <v>39.4527</v>
      </c>
      <c r="T6" t="s">
        <v>35</v>
      </c>
      <c r="U6" t="s">
        <v>36</v>
      </c>
      <c r="W6" t="s">
        <v>663</v>
      </c>
      <c r="X6">
        <v>165</v>
      </c>
      <c r="Y6">
        <v>824</v>
      </c>
    </row>
    <row r="7" spans="1:26" x14ac:dyDescent="0.35">
      <c r="A7" t="s">
        <v>186</v>
      </c>
      <c r="B7" t="s">
        <v>187</v>
      </c>
      <c r="C7" t="s">
        <v>188</v>
      </c>
      <c r="D7" t="s">
        <v>710</v>
      </c>
      <c r="E7" t="s">
        <v>189</v>
      </c>
      <c r="F7" t="s">
        <v>27</v>
      </c>
      <c r="G7" s="34">
        <v>44269</v>
      </c>
      <c r="I7" t="s">
        <v>28</v>
      </c>
      <c r="J7" t="s">
        <v>140</v>
      </c>
      <c r="K7" t="s">
        <v>141</v>
      </c>
      <c r="L7" t="s">
        <v>146</v>
      </c>
      <c r="M7" t="s">
        <v>147</v>
      </c>
      <c r="N7" s="36" t="s">
        <v>711</v>
      </c>
      <c r="O7" t="s">
        <v>190</v>
      </c>
      <c r="P7" t="s">
        <v>191</v>
      </c>
      <c r="Q7" t="s">
        <v>177</v>
      </c>
      <c r="R7" s="35">
        <v>14.0922</v>
      </c>
      <c r="S7" s="35">
        <v>38.274000000000001</v>
      </c>
      <c r="T7" t="s">
        <v>35</v>
      </c>
      <c r="U7" t="s">
        <v>36</v>
      </c>
      <c r="W7" t="s">
        <v>157</v>
      </c>
      <c r="X7">
        <v>978</v>
      </c>
      <c r="Y7">
        <v>4987</v>
      </c>
    </row>
    <row r="8" spans="1:26" x14ac:dyDescent="0.35">
      <c r="A8" t="s">
        <v>192</v>
      </c>
      <c r="B8" t="s">
        <v>193</v>
      </c>
      <c r="C8" t="s">
        <v>194</v>
      </c>
      <c r="D8" t="s">
        <v>195</v>
      </c>
      <c r="F8" t="s">
        <v>27</v>
      </c>
      <c r="G8" s="34">
        <v>44149</v>
      </c>
      <c r="I8" t="s">
        <v>28</v>
      </c>
      <c r="J8" t="s">
        <v>140</v>
      </c>
      <c r="K8" t="s">
        <v>141</v>
      </c>
      <c r="L8" t="s">
        <v>146</v>
      </c>
      <c r="M8" t="s">
        <v>147</v>
      </c>
      <c r="N8" t="s">
        <v>196</v>
      </c>
      <c r="O8" t="s">
        <v>197</v>
      </c>
      <c r="P8" t="s">
        <v>198</v>
      </c>
      <c r="Q8" t="s">
        <v>177</v>
      </c>
      <c r="R8" s="35">
        <v>13.9938</v>
      </c>
      <c r="S8" s="35">
        <v>37.824300000000001</v>
      </c>
      <c r="T8" t="s">
        <v>35</v>
      </c>
      <c r="U8" t="s">
        <v>36</v>
      </c>
      <c r="W8" t="s">
        <v>157</v>
      </c>
      <c r="X8">
        <v>712</v>
      </c>
      <c r="Y8">
        <v>3143</v>
      </c>
    </row>
    <row r="9" spans="1:26" x14ac:dyDescent="0.35">
      <c r="A9" t="s">
        <v>204</v>
      </c>
      <c r="B9" t="s">
        <v>205</v>
      </c>
      <c r="C9" t="s">
        <v>206</v>
      </c>
      <c r="D9" t="s">
        <v>207</v>
      </c>
      <c r="F9" t="s">
        <v>27</v>
      </c>
      <c r="G9" s="34">
        <v>44263</v>
      </c>
      <c r="I9" t="s">
        <v>28</v>
      </c>
      <c r="J9" t="s">
        <v>140</v>
      </c>
      <c r="K9" t="s">
        <v>141</v>
      </c>
      <c r="L9" t="s">
        <v>146</v>
      </c>
      <c r="M9" t="s">
        <v>147</v>
      </c>
      <c r="N9" t="s">
        <v>711</v>
      </c>
      <c r="O9" t="s">
        <v>190</v>
      </c>
      <c r="P9" t="s">
        <v>125</v>
      </c>
      <c r="Q9" t="s">
        <v>177</v>
      </c>
      <c r="R9" s="35">
        <v>14.1038</v>
      </c>
      <c r="S9" s="35">
        <v>38.2943</v>
      </c>
      <c r="T9" t="s">
        <v>35</v>
      </c>
      <c r="U9" t="s">
        <v>36</v>
      </c>
      <c r="W9" t="s">
        <v>157</v>
      </c>
      <c r="X9">
        <v>719</v>
      </c>
      <c r="Y9">
        <v>3514</v>
      </c>
    </row>
    <row r="10" spans="1:26" x14ac:dyDescent="0.35">
      <c r="A10" t="s">
        <v>209</v>
      </c>
      <c r="B10" t="s">
        <v>210</v>
      </c>
      <c r="C10" t="s">
        <v>211</v>
      </c>
      <c r="D10" t="s">
        <v>212</v>
      </c>
      <c r="F10" t="s">
        <v>27</v>
      </c>
      <c r="G10" s="34">
        <v>44256</v>
      </c>
      <c r="I10" t="s">
        <v>28</v>
      </c>
      <c r="J10" t="s">
        <v>140</v>
      </c>
      <c r="K10" t="s">
        <v>141</v>
      </c>
      <c r="L10" t="s">
        <v>145</v>
      </c>
      <c r="M10" t="s">
        <v>183</v>
      </c>
      <c r="N10" t="s">
        <v>250</v>
      </c>
      <c r="O10" t="s">
        <v>538</v>
      </c>
      <c r="P10" t="s">
        <v>213</v>
      </c>
      <c r="Q10" t="s">
        <v>595</v>
      </c>
      <c r="R10" s="35">
        <v>13.5246</v>
      </c>
      <c r="S10" s="35">
        <v>39.456899999999997</v>
      </c>
      <c r="T10" t="s">
        <v>35</v>
      </c>
      <c r="U10" t="s">
        <v>36</v>
      </c>
      <c r="W10" t="s">
        <v>54</v>
      </c>
      <c r="X10">
        <v>263</v>
      </c>
      <c r="Y10">
        <v>1109</v>
      </c>
    </row>
    <row r="11" spans="1:26" x14ac:dyDescent="0.35">
      <c r="A11" t="s">
        <v>214</v>
      </c>
      <c r="B11" t="s">
        <v>215</v>
      </c>
      <c r="C11" t="s">
        <v>216</v>
      </c>
      <c r="D11" t="s">
        <v>217</v>
      </c>
      <c r="F11" t="s">
        <v>27</v>
      </c>
      <c r="G11" s="34">
        <v>44673</v>
      </c>
      <c r="I11" t="s">
        <v>53</v>
      </c>
      <c r="J11" t="s">
        <v>140</v>
      </c>
      <c r="K11" t="s">
        <v>141</v>
      </c>
      <c r="L11" t="s">
        <v>142</v>
      </c>
      <c r="M11" t="s">
        <v>143</v>
      </c>
      <c r="N11" t="s">
        <v>510</v>
      </c>
      <c r="O11" t="s">
        <v>511</v>
      </c>
      <c r="P11" t="s">
        <v>220</v>
      </c>
      <c r="Q11" t="s">
        <v>218</v>
      </c>
      <c r="R11" s="35">
        <v>14.1585</v>
      </c>
      <c r="S11" s="35">
        <v>38.857799999999997</v>
      </c>
      <c r="T11" t="s">
        <v>35</v>
      </c>
      <c r="U11" t="s">
        <v>36</v>
      </c>
      <c r="W11" t="s">
        <v>54</v>
      </c>
      <c r="X11">
        <v>201</v>
      </c>
      <c r="Y11">
        <v>1152</v>
      </c>
    </row>
    <row r="12" spans="1:26" x14ac:dyDescent="0.35">
      <c r="A12" t="s">
        <v>681</v>
      </c>
      <c r="B12" t="s">
        <v>682</v>
      </c>
      <c r="D12" t="s">
        <v>569</v>
      </c>
      <c r="F12" t="s">
        <v>27</v>
      </c>
      <c r="G12" s="34" t="s">
        <v>570</v>
      </c>
      <c r="I12" t="s">
        <v>28</v>
      </c>
      <c r="J12" t="s">
        <v>140</v>
      </c>
      <c r="K12" t="s">
        <v>141</v>
      </c>
      <c r="L12" t="s">
        <v>262</v>
      </c>
      <c r="M12" t="s">
        <v>263</v>
      </c>
      <c r="N12" t="s">
        <v>264</v>
      </c>
      <c r="O12" t="s">
        <v>265</v>
      </c>
      <c r="P12">
        <v>2</v>
      </c>
      <c r="Q12" t="s">
        <v>145</v>
      </c>
      <c r="R12" s="35">
        <v>14.2784</v>
      </c>
      <c r="S12" s="35">
        <v>39.4604</v>
      </c>
      <c r="T12" t="s">
        <v>35</v>
      </c>
      <c r="U12" t="s">
        <v>36</v>
      </c>
      <c r="W12" t="s">
        <v>157</v>
      </c>
      <c r="X12">
        <v>151</v>
      </c>
      <c r="Y12">
        <v>548</v>
      </c>
    </row>
    <row r="13" spans="1:26" x14ac:dyDescent="0.35">
      <c r="A13" t="s">
        <v>221</v>
      </c>
      <c r="B13" t="s">
        <v>222</v>
      </c>
      <c r="C13" t="s">
        <v>223</v>
      </c>
      <c r="D13" t="s">
        <v>224</v>
      </c>
      <c r="F13" t="s">
        <v>27</v>
      </c>
      <c r="G13" s="34">
        <v>44150</v>
      </c>
      <c r="I13" t="s">
        <v>28</v>
      </c>
      <c r="J13" t="s">
        <v>140</v>
      </c>
      <c r="K13" t="s">
        <v>141</v>
      </c>
      <c r="L13" t="s">
        <v>142</v>
      </c>
      <c r="M13" t="s">
        <v>143</v>
      </c>
      <c r="N13" t="s">
        <v>619</v>
      </c>
      <c r="O13" t="s">
        <v>162</v>
      </c>
      <c r="P13" t="s">
        <v>225</v>
      </c>
      <c r="R13" s="35">
        <v>14.103</v>
      </c>
      <c r="S13" s="35">
        <v>38.287399999999998</v>
      </c>
      <c r="T13" t="s">
        <v>35</v>
      </c>
      <c r="U13" t="s">
        <v>36</v>
      </c>
      <c r="W13" t="s">
        <v>157</v>
      </c>
      <c r="X13">
        <v>2909</v>
      </c>
      <c r="Y13">
        <v>15404</v>
      </c>
    </row>
    <row r="14" spans="1:26" x14ac:dyDescent="0.35">
      <c r="A14" t="s">
        <v>229</v>
      </c>
      <c r="B14" t="s">
        <v>230</v>
      </c>
      <c r="C14" t="s">
        <v>231</v>
      </c>
      <c r="D14" t="s">
        <v>232</v>
      </c>
      <c r="F14" t="s">
        <v>27</v>
      </c>
      <c r="G14" s="34">
        <v>44315</v>
      </c>
      <c r="I14" t="s">
        <v>28</v>
      </c>
      <c r="J14" t="s">
        <v>140</v>
      </c>
      <c r="K14" t="s">
        <v>141</v>
      </c>
      <c r="L14" t="s">
        <v>145</v>
      </c>
      <c r="M14" t="s">
        <v>183</v>
      </c>
      <c r="N14" t="s">
        <v>357</v>
      </c>
      <c r="O14" t="s">
        <v>539</v>
      </c>
      <c r="P14" t="s">
        <v>233</v>
      </c>
      <c r="Q14" t="s">
        <v>145</v>
      </c>
      <c r="R14" s="35">
        <v>13.500299999999999</v>
      </c>
      <c r="S14" s="35">
        <v>39.480499999999999</v>
      </c>
      <c r="T14" t="s">
        <v>35</v>
      </c>
      <c r="U14" t="s">
        <v>36</v>
      </c>
      <c r="W14" t="s">
        <v>157</v>
      </c>
      <c r="X14">
        <v>80</v>
      </c>
      <c r="Y14">
        <v>396</v>
      </c>
    </row>
    <row r="15" spans="1:26" x14ac:dyDescent="0.35">
      <c r="A15" t="s">
        <v>234</v>
      </c>
      <c r="B15" t="s">
        <v>235</v>
      </c>
      <c r="D15" t="s">
        <v>236</v>
      </c>
      <c r="F15" t="s">
        <v>27</v>
      </c>
      <c r="G15" s="34">
        <v>44604</v>
      </c>
      <c r="I15" t="s">
        <v>28</v>
      </c>
      <c r="J15" t="s">
        <v>140</v>
      </c>
      <c r="K15" t="s">
        <v>141</v>
      </c>
      <c r="L15" t="s">
        <v>142</v>
      </c>
      <c r="M15" t="s">
        <v>143</v>
      </c>
      <c r="N15" t="s">
        <v>614</v>
      </c>
      <c r="O15" t="s">
        <v>144</v>
      </c>
      <c r="R15" s="35">
        <v>13.6425</v>
      </c>
      <c r="S15" s="35">
        <v>38.986800000000002</v>
      </c>
      <c r="T15" t="s">
        <v>35</v>
      </c>
      <c r="U15" t="s">
        <v>36</v>
      </c>
      <c r="W15" t="s">
        <v>157</v>
      </c>
      <c r="X15">
        <v>788</v>
      </c>
      <c r="Y15">
        <v>3171</v>
      </c>
    </row>
    <row r="16" spans="1:26" x14ac:dyDescent="0.35">
      <c r="A16" t="s">
        <v>237</v>
      </c>
      <c r="B16" t="s">
        <v>238</v>
      </c>
      <c r="C16" t="s">
        <v>239</v>
      </c>
      <c r="D16" t="s">
        <v>240</v>
      </c>
      <c r="E16" t="s">
        <v>241</v>
      </c>
      <c r="F16" t="s">
        <v>27</v>
      </c>
      <c r="G16" s="34">
        <v>44153</v>
      </c>
      <c r="I16" t="s">
        <v>28</v>
      </c>
      <c r="J16" t="s">
        <v>140</v>
      </c>
      <c r="K16" t="s">
        <v>141</v>
      </c>
      <c r="L16" t="s">
        <v>142</v>
      </c>
      <c r="M16" t="s">
        <v>143</v>
      </c>
      <c r="N16" t="s">
        <v>619</v>
      </c>
      <c r="O16" t="s">
        <v>162</v>
      </c>
      <c r="P16" t="s">
        <v>242</v>
      </c>
      <c r="R16" s="35">
        <v>14.115</v>
      </c>
      <c r="S16" s="35">
        <v>38.731099999999998</v>
      </c>
      <c r="T16" t="s">
        <v>35</v>
      </c>
      <c r="U16" t="s">
        <v>36</v>
      </c>
      <c r="W16" t="s">
        <v>157</v>
      </c>
      <c r="X16">
        <v>1979</v>
      </c>
      <c r="Y16">
        <v>9642</v>
      </c>
    </row>
    <row r="17" spans="1:25" x14ac:dyDescent="0.35">
      <c r="A17" t="s">
        <v>243</v>
      </c>
      <c r="B17" t="s">
        <v>244</v>
      </c>
      <c r="C17" t="s">
        <v>245</v>
      </c>
      <c r="D17" t="s">
        <v>246</v>
      </c>
      <c r="E17" t="s">
        <v>247</v>
      </c>
      <c r="F17" t="s">
        <v>27</v>
      </c>
      <c r="G17" s="34">
        <v>44269</v>
      </c>
      <c r="I17" t="s">
        <v>28</v>
      </c>
      <c r="J17" t="s">
        <v>140</v>
      </c>
      <c r="K17" t="s">
        <v>141</v>
      </c>
      <c r="L17" t="s">
        <v>146</v>
      </c>
      <c r="M17" t="s">
        <v>147</v>
      </c>
      <c r="N17" t="s">
        <v>711</v>
      </c>
      <c r="O17" t="s">
        <v>190</v>
      </c>
      <c r="P17" t="s">
        <v>163</v>
      </c>
      <c r="Q17" t="s">
        <v>177</v>
      </c>
      <c r="R17" s="35">
        <v>14.103</v>
      </c>
      <c r="S17" s="35">
        <v>38.287300000000002</v>
      </c>
      <c r="T17" t="s">
        <v>35</v>
      </c>
      <c r="U17" t="s">
        <v>36</v>
      </c>
      <c r="W17" t="s">
        <v>157</v>
      </c>
      <c r="X17">
        <v>320</v>
      </c>
      <c r="Y17">
        <v>1859</v>
      </c>
    </row>
    <row r="18" spans="1:25" x14ac:dyDescent="0.35">
      <c r="A18" t="s">
        <v>414</v>
      </c>
      <c r="B18" t="s">
        <v>415</v>
      </c>
      <c r="C18" t="s">
        <v>416</v>
      </c>
      <c r="D18" t="s">
        <v>600</v>
      </c>
      <c r="E18" t="s">
        <v>417</v>
      </c>
      <c r="F18" t="s">
        <v>27</v>
      </c>
      <c r="G18" s="34">
        <v>44673</v>
      </c>
      <c r="I18" t="s">
        <v>28</v>
      </c>
      <c r="J18" t="s">
        <v>140</v>
      </c>
      <c r="K18" t="s">
        <v>141</v>
      </c>
      <c r="L18" t="s">
        <v>146</v>
      </c>
      <c r="M18" t="s">
        <v>147</v>
      </c>
      <c r="N18" t="s">
        <v>711</v>
      </c>
      <c r="O18" t="s">
        <v>190</v>
      </c>
      <c r="P18" t="s">
        <v>163</v>
      </c>
      <c r="Q18" t="s">
        <v>177</v>
      </c>
      <c r="R18" s="35">
        <v>14.1088</v>
      </c>
      <c r="S18" s="35">
        <v>38.285600000000002</v>
      </c>
      <c r="T18" t="s">
        <v>35</v>
      </c>
      <c r="U18" t="s">
        <v>36</v>
      </c>
      <c r="W18" t="s">
        <v>54</v>
      </c>
      <c r="X18">
        <v>275</v>
      </c>
      <c r="Y18">
        <v>1255</v>
      </c>
    </row>
    <row r="19" spans="1:25" x14ac:dyDescent="0.35">
      <c r="A19" t="s">
        <v>252</v>
      </c>
      <c r="B19" t="s">
        <v>253</v>
      </c>
      <c r="C19" t="s">
        <v>254</v>
      </c>
      <c r="D19" t="s">
        <v>255</v>
      </c>
      <c r="F19" t="s">
        <v>27</v>
      </c>
      <c r="G19" s="34">
        <v>44164</v>
      </c>
      <c r="I19" t="s">
        <v>28</v>
      </c>
      <c r="J19" t="s">
        <v>140</v>
      </c>
      <c r="K19" t="s">
        <v>141</v>
      </c>
      <c r="L19" t="s">
        <v>146</v>
      </c>
      <c r="M19" t="s">
        <v>147</v>
      </c>
      <c r="N19" t="s">
        <v>711</v>
      </c>
      <c r="O19" t="s">
        <v>190</v>
      </c>
      <c r="P19" t="s">
        <v>108</v>
      </c>
      <c r="Q19" t="s">
        <v>177</v>
      </c>
      <c r="R19" s="35">
        <v>14.102</v>
      </c>
      <c r="S19" s="35">
        <v>38.267899999999997</v>
      </c>
      <c r="T19" t="s">
        <v>35</v>
      </c>
      <c r="U19" t="s">
        <v>36</v>
      </c>
      <c r="W19" t="s">
        <v>157</v>
      </c>
      <c r="X19">
        <v>167</v>
      </c>
      <c r="Y19">
        <v>868</v>
      </c>
    </row>
    <row r="20" spans="1:25" x14ac:dyDescent="0.35">
      <c r="A20" t="s">
        <v>257</v>
      </c>
      <c r="B20" t="s">
        <v>258</v>
      </c>
      <c r="C20" t="s">
        <v>259</v>
      </c>
      <c r="D20" t="s">
        <v>260</v>
      </c>
      <c r="E20" t="s">
        <v>261</v>
      </c>
      <c r="F20" t="s">
        <v>27</v>
      </c>
      <c r="G20" s="34">
        <v>44460</v>
      </c>
      <c r="I20" t="s">
        <v>28</v>
      </c>
      <c r="J20" t="s">
        <v>140</v>
      </c>
      <c r="K20" t="s">
        <v>141</v>
      </c>
      <c r="L20" t="s">
        <v>262</v>
      </c>
      <c r="M20" t="s">
        <v>263</v>
      </c>
      <c r="N20" t="s">
        <v>264</v>
      </c>
      <c r="O20" t="s">
        <v>265</v>
      </c>
      <c r="P20" t="s">
        <v>72</v>
      </c>
      <c r="Q20" t="s">
        <v>266</v>
      </c>
      <c r="R20" s="35">
        <v>14.164199999999999</v>
      </c>
      <c r="S20" s="35">
        <v>39.271700000000003</v>
      </c>
      <c r="T20" t="s">
        <v>35</v>
      </c>
      <c r="U20" t="s">
        <v>36</v>
      </c>
      <c r="W20" t="s">
        <v>54</v>
      </c>
      <c r="X20">
        <v>54</v>
      </c>
      <c r="Y20">
        <v>217</v>
      </c>
    </row>
    <row r="21" spans="1:25" x14ac:dyDescent="0.35">
      <c r="A21" t="s">
        <v>268</v>
      </c>
      <c r="B21" t="s">
        <v>269</v>
      </c>
      <c r="C21" t="s">
        <v>270</v>
      </c>
      <c r="D21" t="s">
        <v>271</v>
      </c>
      <c r="F21" t="s">
        <v>27</v>
      </c>
      <c r="G21" s="34">
        <v>44257</v>
      </c>
      <c r="I21" t="s">
        <v>28</v>
      </c>
      <c r="J21" t="s">
        <v>140</v>
      </c>
      <c r="K21" t="s">
        <v>141</v>
      </c>
      <c r="L21" t="s">
        <v>146</v>
      </c>
      <c r="M21" t="s">
        <v>147</v>
      </c>
      <c r="N21" t="s">
        <v>711</v>
      </c>
      <c r="O21" t="s">
        <v>190</v>
      </c>
      <c r="P21" t="s">
        <v>191</v>
      </c>
      <c r="Q21" t="s">
        <v>177</v>
      </c>
      <c r="R21" s="35">
        <v>14.095800000000001</v>
      </c>
      <c r="S21" s="35">
        <v>38.281399999999998</v>
      </c>
      <c r="T21" t="s">
        <v>35</v>
      </c>
      <c r="U21" t="s">
        <v>36</v>
      </c>
      <c r="W21" t="s">
        <v>157</v>
      </c>
      <c r="X21">
        <v>387</v>
      </c>
      <c r="Y21">
        <v>1998</v>
      </c>
    </row>
    <row r="22" spans="1:25" x14ac:dyDescent="0.35">
      <c r="A22" t="s">
        <v>272</v>
      </c>
      <c r="B22" t="s">
        <v>273</v>
      </c>
      <c r="C22" t="s">
        <v>274</v>
      </c>
      <c r="D22" t="s">
        <v>275</v>
      </c>
      <c r="E22" t="s">
        <v>276</v>
      </c>
      <c r="F22" t="s">
        <v>27</v>
      </c>
      <c r="G22" s="34">
        <v>44250</v>
      </c>
      <c r="I22" t="s">
        <v>28</v>
      </c>
      <c r="J22" t="s">
        <v>140</v>
      </c>
      <c r="K22" t="s">
        <v>141</v>
      </c>
      <c r="L22" t="s">
        <v>262</v>
      </c>
      <c r="M22" t="s">
        <v>263</v>
      </c>
      <c r="N22" t="s">
        <v>566</v>
      </c>
      <c r="O22" t="s">
        <v>277</v>
      </c>
      <c r="P22" t="s">
        <v>108</v>
      </c>
      <c r="Q22" t="s">
        <v>145</v>
      </c>
      <c r="R22" s="35">
        <v>14.1875</v>
      </c>
      <c r="S22" s="35">
        <v>39.5655</v>
      </c>
      <c r="T22" t="s">
        <v>35</v>
      </c>
      <c r="U22" t="s">
        <v>36</v>
      </c>
      <c r="W22" t="s">
        <v>157</v>
      </c>
      <c r="X22">
        <v>57</v>
      </c>
      <c r="Y22">
        <v>129</v>
      </c>
    </row>
    <row r="23" spans="1:25" x14ac:dyDescent="0.35">
      <c r="A23" t="s">
        <v>278</v>
      </c>
      <c r="B23" t="s">
        <v>279</v>
      </c>
      <c r="C23" t="s">
        <v>280</v>
      </c>
      <c r="D23" t="s">
        <v>281</v>
      </c>
      <c r="F23" t="s">
        <v>27</v>
      </c>
      <c r="G23" s="34">
        <v>44149</v>
      </c>
      <c r="I23" t="s">
        <v>28</v>
      </c>
      <c r="J23" t="s">
        <v>140</v>
      </c>
      <c r="K23" t="s">
        <v>141</v>
      </c>
      <c r="L23" t="s">
        <v>146</v>
      </c>
      <c r="M23" t="s">
        <v>147</v>
      </c>
      <c r="N23" t="s">
        <v>711</v>
      </c>
      <c r="O23" t="s">
        <v>190</v>
      </c>
      <c r="P23" t="s">
        <v>108</v>
      </c>
      <c r="Q23" t="s">
        <v>177</v>
      </c>
      <c r="R23" s="35">
        <v>14.1029</v>
      </c>
      <c r="S23" s="35">
        <v>38.287500000000001</v>
      </c>
      <c r="T23" t="s">
        <v>35</v>
      </c>
      <c r="U23" t="s">
        <v>36</v>
      </c>
      <c r="W23" t="s">
        <v>157</v>
      </c>
      <c r="X23">
        <v>6160</v>
      </c>
      <c r="Y23">
        <v>27172</v>
      </c>
    </row>
    <row r="24" spans="1:25" x14ac:dyDescent="0.35">
      <c r="A24" t="s">
        <v>284</v>
      </c>
      <c r="B24" t="s">
        <v>285</v>
      </c>
      <c r="C24" t="s">
        <v>286</v>
      </c>
      <c r="D24" t="s">
        <v>287</v>
      </c>
      <c r="E24" t="s">
        <v>288</v>
      </c>
      <c r="F24" t="s">
        <v>27</v>
      </c>
      <c r="G24" s="34">
        <v>44378</v>
      </c>
      <c r="I24" t="s">
        <v>28</v>
      </c>
      <c r="J24" t="s">
        <v>140</v>
      </c>
      <c r="K24" t="s">
        <v>141</v>
      </c>
      <c r="L24" t="s">
        <v>142</v>
      </c>
      <c r="M24" t="s">
        <v>143</v>
      </c>
      <c r="N24" t="s">
        <v>510</v>
      </c>
      <c r="O24" t="s">
        <v>511</v>
      </c>
      <c r="P24" t="s">
        <v>125</v>
      </c>
      <c r="Q24" t="s">
        <v>218</v>
      </c>
      <c r="R24" s="35">
        <v>14.1533</v>
      </c>
      <c r="S24" s="35">
        <v>38.897500000000001</v>
      </c>
      <c r="T24" t="s">
        <v>35</v>
      </c>
      <c r="U24" t="s">
        <v>36</v>
      </c>
      <c r="W24" t="s">
        <v>54</v>
      </c>
      <c r="X24">
        <v>284</v>
      </c>
      <c r="Y24">
        <v>1042</v>
      </c>
    </row>
    <row r="25" spans="1:25" x14ac:dyDescent="0.35">
      <c r="A25" t="s">
        <v>517</v>
      </c>
      <c r="B25" t="s">
        <v>518</v>
      </c>
      <c r="C25" t="s">
        <v>519</v>
      </c>
      <c r="D25" t="s">
        <v>520</v>
      </c>
      <c r="F25" t="s">
        <v>27</v>
      </c>
      <c r="G25" s="34">
        <v>45017</v>
      </c>
      <c r="I25" t="s">
        <v>28</v>
      </c>
      <c r="J25" t="s">
        <v>140</v>
      </c>
      <c r="K25" t="s">
        <v>141</v>
      </c>
      <c r="L25" t="s">
        <v>146</v>
      </c>
      <c r="M25" t="s">
        <v>147</v>
      </c>
      <c r="N25" t="s">
        <v>602</v>
      </c>
      <c r="O25" t="s">
        <v>293</v>
      </c>
      <c r="P25" t="s">
        <v>495</v>
      </c>
      <c r="Q25" t="s">
        <v>177</v>
      </c>
      <c r="R25" s="35">
        <v>13.9421</v>
      </c>
      <c r="S25" s="35">
        <v>38.183599999999998</v>
      </c>
      <c r="T25" t="s">
        <v>35</v>
      </c>
      <c r="U25" t="s">
        <v>36</v>
      </c>
      <c r="W25" t="s">
        <v>54</v>
      </c>
      <c r="X25">
        <v>252</v>
      </c>
      <c r="Y25">
        <v>985</v>
      </c>
    </row>
    <row r="26" spans="1:25" x14ac:dyDescent="0.35">
      <c r="A26" t="s">
        <v>289</v>
      </c>
      <c r="B26" t="s">
        <v>290</v>
      </c>
      <c r="C26" t="s">
        <v>291</v>
      </c>
      <c r="D26" t="s">
        <v>292</v>
      </c>
      <c r="E26" t="s">
        <v>126</v>
      </c>
      <c r="F26" t="s">
        <v>27</v>
      </c>
      <c r="G26" s="34">
        <v>44805</v>
      </c>
      <c r="I26" t="s">
        <v>28</v>
      </c>
      <c r="J26" t="s">
        <v>140</v>
      </c>
      <c r="K26" t="s">
        <v>141</v>
      </c>
      <c r="L26" t="s">
        <v>146</v>
      </c>
      <c r="M26" t="s">
        <v>147</v>
      </c>
      <c r="N26" t="s">
        <v>602</v>
      </c>
      <c r="O26" t="s">
        <v>293</v>
      </c>
      <c r="P26" t="s">
        <v>124</v>
      </c>
      <c r="Q26" t="s">
        <v>177</v>
      </c>
      <c r="R26" s="35">
        <v>13.939500000000001</v>
      </c>
      <c r="S26" s="35">
        <v>38.1828</v>
      </c>
      <c r="T26" t="s">
        <v>35</v>
      </c>
      <c r="U26" t="s">
        <v>36</v>
      </c>
      <c r="W26" t="s">
        <v>54</v>
      </c>
      <c r="X26">
        <v>117</v>
      </c>
      <c r="Y26">
        <v>495</v>
      </c>
    </row>
    <row r="27" spans="1:25" x14ac:dyDescent="0.35">
      <c r="A27" t="s">
        <v>294</v>
      </c>
      <c r="B27" t="s">
        <v>295</v>
      </c>
      <c r="C27" t="s">
        <v>296</v>
      </c>
      <c r="D27" t="s">
        <v>297</v>
      </c>
      <c r="E27" t="s">
        <v>298</v>
      </c>
      <c r="F27" t="s">
        <v>27</v>
      </c>
      <c r="G27" s="34">
        <v>44251</v>
      </c>
      <c r="I27" t="s">
        <v>28</v>
      </c>
      <c r="J27" t="s">
        <v>140</v>
      </c>
      <c r="K27" t="s">
        <v>141</v>
      </c>
      <c r="L27" t="s">
        <v>146</v>
      </c>
      <c r="M27" t="s">
        <v>147</v>
      </c>
      <c r="N27" t="s">
        <v>567</v>
      </c>
      <c r="O27" t="s">
        <v>149</v>
      </c>
      <c r="P27" t="s">
        <v>299</v>
      </c>
      <c r="Q27" t="s">
        <v>177</v>
      </c>
      <c r="R27" s="35">
        <v>14.397600000000001</v>
      </c>
      <c r="S27" s="35">
        <v>37.765999999999998</v>
      </c>
      <c r="T27" t="s">
        <v>35</v>
      </c>
      <c r="U27" t="s">
        <v>36</v>
      </c>
      <c r="W27" t="s">
        <v>157</v>
      </c>
      <c r="X27">
        <v>27</v>
      </c>
      <c r="Y27">
        <v>86</v>
      </c>
    </row>
    <row r="28" spans="1:25" x14ac:dyDescent="0.35">
      <c r="A28" t="s">
        <v>522</v>
      </c>
      <c r="B28" t="s">
        <v>523</v>
      </c>
      <c r="C28" t="s">
        <v>524</v>
      </c>
      <c r="D28" t="s">
        <v>525</v>
      </c>
      <c r="E28" t="s">
        <v>526</v>
      </c>
      <c r="F28" t="s">
        <v>27</v>
      </c>
      <c r="G28" s="34">
        <v>45065</v>
      </c>
      <c r="I28" t="s">
        <v>28</v>
      </c>
      <c r="J28" t="s">
        <v>140</v>
      </c>
      <c r="K28" t="s">
        <v>141</v>
      </c>
      <c r="L28" t="s">
        <v>146</v>
      </c>
      <c r="M28" t="s">
        <v>147</v>
      </c>
      <c r="N28" t="s">
        <v>200</v>
      </c>
      <c r="O28" t="s">
        <v>201</v>
      </c>
      <c r="P28" t="s">
        <v>202</v>
      </c>
      <c r="Q28" t="s">
        <v>177</v>
      </c>
      <c r="R28" s="35">
        <v>14.418699999999999</v>
      </c>
      <c r="S28" s="35">
        <v>38.1892</v>
      </c>
      <c r="T28" t="s">
        <v>35</v>
      </c>
      <c r="U28" t="s">
        <v>36</v>
      </c>
      <c r="W28" t="s">
        <v>54</v>
      </c>
      <c r="X28">
        <v>155</v>
      </c>
      <c r="Y28">
        <v>811</v>
      </c>
    </row>
    <row r="29" spans="1:25" x14ac:dyDescent="0.35">
      <c r="A29" t="s">
        <v>300</v>
      </c>
      <c r="B29" t="s">
        <v>301</v>
      </c>
      <c r="C29" t="s">
        <v>302</v>
      </c>
      <c r="D29" t="s">
        <v>303</v>
      </c>
      <c r="E29" t="s">
        <v>304</v>
      </c>
      <c r="F29" t="s">
        <v>27</v>
      </c>
      <c r="G29" s="34">
        <v>44151</v>
      </c>
      <c r="I29" t="s">
        <v>28</v>
      </c>
      <c r="J29" t="s">
        <v>140</v>
      </c>
      <c r="K29" t="s">
        <v>141</v>
      </c>
      <c r="L29" t="s">
        <v>142</v>
      </c>
      <c r="M29" t="s">
        <v>143</v>
      </c>
      <c r="N29" t="s">
        <v>619</v>
      </c>
      <c r="O29" t="s">
        <v>162</v>
      </c>
      <c r="P29" t="s">
        <v>305</v>
      </c>
      <c r="Q29" t="s">
        <v>306</v>
      </c>
      <c r="R29" s="35">
        <v>14.120799999999999</v>
      </c>
      <c r="S29" s="35">
        <v>38.723199999999999</v>
      </c>
      <c r="T29" t="s">
        <v>35</v>
      </c>
      <c r="U29" t="s">
        <v>36</v>
      </c>
      <c r="W29" t="s">
        <v>157</v>
      </c>
      <c r="X29">
        <v>1756</v>
      </c>
      <c r="Y29">
        <v>12401</v>
      </c>
    </row>
    <row r="30" spans="1:25" x14ac:dyDescent="0.35">
      <c r="A30" t="s">
        <v>307</v>
      </c>
      <c r="B30" t="s">
        <v>308</v>
      </c>
      <c r="C30" t="s">
        <v>309</v>
      </c>
      <c r="D30" t="s">
        <v>310</v>
      </c>
      <c r="E30" t="s">
        <v>311</v>
      </c>
      <c r="F30" t="s">
        <v>27</v>
      </c>
      <c r="G30" s="34">
        <v>44360</v>
      </c>
      <c r="I30" t="s">
        <v>53</v>
      </c>
      <c r="J30" t="s">
        <v>140</v>
      </c>
      <c r="K30" t="s">
        <v>141</v>
      </c>
      <c r="L30" t="s">
        <v>146</v>
      </c>
      <c r="M30" t="s">
        <v>147</v>
      </c>
      <c r="N30" t="s">
        <v>711</v>
      </c>
      <c r="O30" t="s">
        <v>190</v>
      </c>
      <c r="P30" t="s">
        <v>191</v>
      </c>
      <c r="Q30" t="s">
        <v>177</v>
      </c>
      <c r="R30" s="35">
        <v>14.103</v>
      </c>
      <c r="S30" s="35">
        <v>38.287500000000001</v>
      </c>
      <c r="T30" t="s">
        <v>35</v>
      </c>
      <c r="U30" t="s">
        <v>36</v>
      </c>
      <c r="W30" t="s">
        <v>157</v>
      </c>
      <c r="X30">
        <v>1750</v>
      </c>
      <c r="Y30">
        <v>8460</v>
      </c>
    </row>
    <row r="31" spans="1:25" x14ac:dyDescent="0.35">
      <c r="A31" t="s">
        <v>312</v>
      </c>
      <c r="B31" t="s">
        <v>313</v>
      </c>
      <c r="C31" t="s">
        <v>314</v>
      </c>
      <c r="D31" t="s">
        <v>315</v>
      </c>
      <c r="F31" t="s">
        <v>27</v>
      </c>
      <c r="G31" s="34">
        <v>44287</v>
      </c>
      <c r="I31" t="s">
        <v>28</v>
      </c>
      <c r="J31" t="s">
        <v>140</v>
      </c>
      <c r="K31" t="s">
        <v>141</v>
      </c>
      <c r="L31" t="s">
        <v>146</v>
      </c>
      <c r="M31" t="s">
        <v>147</v>
      </c>
      <c r="N31" t="s">
        <v>711</v>
      </c>
      <c r="O31" t="s">
        <v>190</v>
      </c>
      <c r="P31" t="s">
        <v>125</v>
      </c>
      <c r="Q31" t="s">
        <v>177</v>
      </c>
      <c r="R31" s="35">
        <v>14.106199999999999</v>
      </c>
      <c r="S31" s="35">
        <v>38.302700000000002</v>
      </c>
      <c r="T31" t="s">
        <v>35</v>
      </c>
      <c r="U31" t="s">
        <v>36</v>
      </c>
      <c r="W31" t="s">
        <v>54</v>
      </c>
      <c r="X31">
        <v>1821</v>
      </c>
      <c r="Y31">
        <v>7194</v>
      </c>
    </row>
    <row r="32" spans="1:25" x14ac:dyDescent="0.35">
      <c r="A32" t="s">
        <v>316</v>
      </c>
      <c r="B32" t="s">
        <v>317</v>
      </c>
      <c r="C32" t="s">
        <v>318</v>
      </c>
      <c r="D32" t="s">
        <v>319</v>
      </c>
      <c r="F32" t="s">
        <v>27</v>
      </c>
      <c r="G32" s="34">
        <v>44348</v>
      </c>
      <c r="I32" t="s">
        <v>28</v>
      </c>
      <c r="J32" t="s">
        <v>140</v>
      </c>
      <c r="K32" t="s">
        <v>141</v>
      </c>
      <c r="L32" t="s">
        <v>146</v>
      </c>
      <c r="M32" t="s">
        <v>147</v>
      </c>
      <c r="N32" t="s">
        <v>711</v>
      </c>
      <c r="O32" t="s">
        <v>190</v>
      </c>
      <c r="P32" t="s">
        <v>108</v>
      </c>
      <c r="Q32" t="s">
        <v>177</v>
      </c>
      <c r="R32" s="35">
        <v>14.1137</v>
      </c>
      <c r="S32" s="35">
        <v>38.278799999999997</v>
      </c>
      <c r="T32" t="s">
        <v>35</v>
      </c>
      <c r="U32" t="s">
        <v>36</v>
      </c>
      <c r="W32" t="s">
        <v>54</v>
      </c>
      <c r="X32">
        <v>594</v>
      </c>
      <c r="Y32">
        <v>3078</v>
      </c>
    </row>
    <row r="33" spans="1:25" x14ac:dyDescent="0.35">
      <c r="A33" t="s">
        <v>320</v>
      </c>
      <c r="B33" t="s">
        <v>321</v>
      </c>
      <c r="C33" t="s">
        <v>322</v>
      </c>
      <c r="D33" t="s">
        <v>323</v>
      </c>
      <c r="E33" t="s">
        <v>568</v>
      </c>
      <c r="F33" t="s">
        <v>27</v>
      </c>
      <c r="G33" s="34">
        <v>44268</v>
      </c>
      <c r="I33" t="s">
        <v>28</v>
      </c>
      <c r="J33" t="s">
        <v>140</v>
      </c>
      <c r="K33" t="s">
        <v>141</v>
      </c>
      <c r="L33" t="s">
        <v>145</v>
      </c>
      <c r="M33" t="s">
        <v>183</v>
      </c>
      <c r="N33" t="s">
        <v>534</v>
      </c>
      <c r="O33" t="s">
        <v>542</v>
      </c>
      <c r="P33" t="s">
        <v>324</v>
      </c>
      <c r="Q33" t="s">
        <v>145</v>
      </c>
      <c r="R33" s="35">
        <v>13.485799999999999</v>
      </c>
      <c r="S33" s="35">
        <v>39.450600000000001</v>
      </c>
      <c r="T33" t="s">
        <v>35</v>
      </c>
      <c r="U33" t="s">
        <v>36</v>
      </c>
      <c r="W33" t="s">
        <v>157</v>
      </c>
      <c r="X33">
        <v>3758</v>
      </c>
      <c r="Y33">
        <v>18792</v>
      </c>
    </row>
    <row r="34" spans="1:25" x14ac:dyDescent="0.35">
      <c r="A34" t="s">
        <v>325</v>
      </c>
      <c r="B34" t="s">
        <v>326</v>
      </c>
      <c r="C34" t="s">
        <v>327</v>
      </c>
      <c r="D34" t="s">
        <v>328</v>
      </c>
      <c r="E34" t="s">
        <v>329</v>
      </c>
      <c r="F34" t="s">
        <v>27</v>
      </c>
      <c r="G34" s="34">
        <v>44147</v>
      </c>
      <c r="I34" t="s">
        <v>28</v>
      </c>
      <c r="J34" t="s">
        <v>140</v>
      </c>
      <c r="K34" t="s">
        <v>141</v>
      </c>
      <c r="L34" t="s">
        <v>145</v>
      </c>
      <c r="M34" t="s">
        <v>183</v>
      </c>
      <c r="N34" t="s">
        <v>540</v>
      </c>
      <c r="O34" t="s">
        <v>541</v>
      </c>
      <c r="P34" t="s">
        <v>330</v>
      </c>
      <c r="Q34" t="s">
        <v>145</v>
      </c>
      <c r="R34" s="35">
        <v>13.492000000000001</v>
      </c>
      <c r="S34" s="35">
        <v>39.462600000000002</v>
      </c>
      <c r="T34" t="s">
        <v>35</v>
      </c>
      <c r="U34" t="s">
        <v>36</v>
      </c>
      <c r="W34" t="s">
        <v>157</v>
      </c>
      <c r="X34">
        <v>713</v>
      </c>
      <c r="Y34">
        <v>3832</v>
      </c>
    </row>
    <row r="35" spans="1:25" x14ac:dyDescent="0.35">
      <c r="A35" t="s">
        <v>331</v>
      </c>
      <c r="B35" t="s">
        <v>332</v>
      </c>
      <c r="C35" t="s">
        <v>333</v>
      </c>
      <c r="D35" t="s">
        <v>334</v>
      </c>
      <c r="E35" t="s">
        <v>335</v>
      </c>
      <c r="F35" t="s">
        <v>27</v>
      </c>
      <c r="G35" s="34">
        <v>44145</v>
      </c>
      <c r="I35" t="s">
        <v>28</v>
      </c>
      <c r="J35" t="s">
        <v>140</v>
      </c>
      <c r="K35" t="s">
        <v>141</v>
      </c>
      <c r="L35" t="s">
        <v>146</v>
      </c>
      <c r="M35" t="s">
        <v>147</v>
      </c>
      <c r="N35" t="s">
        <v>711</v>
      </c>
      <c r="O35" t="s">
        <v>190</v>
      </c>
      <c r="P35" t="s">
        <v>125</v>
      </c>
      <c r="Q35" t="s">
        <v>177</v>
      </c>
      <c r="R35" s="35">
        <v>14.103199999999999</v>
      </c>
      <c r="S35" s="35">
        <v>38.2866</v>
      </c>
      <c r="T35" t="s">
        <v>35</v>
      </c>
      <c r="U35" t="s">
        <v>36</v>
      </c>
      <c r="W35" t="s">
        <v>157</v>
      </c>
      <c r="X35">
        <v>8314</v>
      </c>
      <c r="Y35">
        <v>21488</v>
      </c>
    </row>
    <row r="36" spans="1:25" x14ac:dyDescent="0.35">
      <c r="A36" t="s">
        <v>337</v>
      </c>
      <c r="B36" t="s">
        <v>338</v>
      </c>
      <c r="C36" t="s">
        <v>339</v>
      </c>
      <c r="D36" t="s">
        <v>340</v>
      </c>
      <c r="E36" t="s">
        <v>341</v>
      </c>
      <c r="F36" t="s">
        <v>27</v>
      </c>
      <c r="G36" s="34">
        <v>44268</v>
      </c>
      <c r="I36" t="s">
        <v>28</v>
      </c>
      <c r="J36" t="s">
        <v>140</v>
      </c>
      <c r="K36" t="s">
        <v>141</v>
      </c>
      <c r="L36" t="s">
        <v>145</v>
      </c>
      <c r="M36" t="s">
        <v>183</v>
      </c>
      <c r="N36" t="s">
        <v>536</v>
      </c>
      <c r="O36" t="s">
        <v>537</v>
      </c>
      <c r="P36" t="s">
        <v>342</v>
      </c>
      <c r="Q36" t="s">
        <v>145</v>
      </c>
      <c r="R36" s="35">
        <v>13.496</v>
      </c>
      <c r="S36" s="35">
        <v>39.4771</v>
      </c>
      <c r="T36" t="s">
        <v>35</v>
      </c>
      <c r="U36" t="s">
        <v>36</v>
      </c>
      <c r="W36" t="s">
        <v>157</v>
      </c>
      <c r="X36">
        <v>495</v>
      </c>
      <c r="Y36">
        <v>2267</v>
      </c>
    </row>
    <row r="37" spans="1:25" x14ac:dyDescent="0.35">
      <c r="A37" t="s">
        <v>344</v>
      </c>
      <c r="B37" t="s">
        <v>345</v>
      </c>
      <c r="C37" t="s">
        <v>346</v>
      </c>
      <c r="D37" t="s">
        <v>347</v>
      </c>
      <c r="F37" t="s">
        <v>27</v>
      </c>
      <c r="G37" s="34">
        <v>44151</v>
      </c>
      <c r="I37" t="s">
        <v>28</v>
      </c>
      <c r="J37" t="s">
        <v>140</v>
      </c>
      <c r="K37" t="s">
        <v>141</v>
      </c>
      <c r="L37" t="s">
        <v>142</v>
      </c>
      <c r="M37" t="s">
        <v>143</v>
      </c>
      <c r="N37" t="s">
        <v>619</v>
      </c>
      <c r="O37" t="s">
        <v>162</v>
      </c>
      <c r="P37" t="s">
        <v>305</v>
      </c>
      <c r="R37" s="35">
        <v>14.122199999999999</v>
      </c>
      <c r="S37" s="35">
        <v>38.726500000000001</v>
      </c>
      <c r="T37" t="s">
        <v>35</v>
      </c>
      <c r="U37" t="s">
        <v>36</v>
      </c>
      <c r="W37" t="s">
        <v>157</v>
      </c>
      <c r="X37">
        <v>1433</v>
      </c>
      <c r="Y37">
        <v>7184</v>
      </c>
    </row>
    <row r="38" spans="1:25" x14ac:dyDescent="0.35">
      <c r="A38" t="s">
        <v>348</v>
      </c>
      <c r="B38" t="s">
        <v>349</v>
      </c>
      <c r="C38" t="s">
        <v>350</v>
      </c>
      <c r="D38" t="s">
        <v>351</v>
      </c>
      <c r="E38" t="s">
        <v>352</v>
      </c>
      <c r="F38" t="s">
        <v>27</v>
      </c>
      <c r="G38" s="34">
        <v>43968</v>
      </c>
      <c r="I38" t="s">
        <v>28</v>
      </c>
      <c r="J38" t="s">
        <v>140</v>
      </c>
      <c r="K38" t="s">
        <v>141</v>
      </c>
      <c r="L38" t="s">
        <v>146</v>
      </c>
      <c r="M38" t="s">
        <v>147</v>
      </c>
      <c r="N38" t="s">
        <v>196</v>
      </c>
      <c r="O38" t="s">
        <v>197</v>
      </c>
      <c r="P38" t="s">
        <v>108</v>
      </c>
      <c r="Q38" t="s">
        <v>177</v>
      </c>
      <c r="R38" s="35">
        <v>14.102600000000001</v>
      </c>
      <c r="S38" s="35">
        <v>37.9587</v>
      </c>
      <c r="T38" t="s">
        <v>35</v>
      </c>
      <c r="U38" t="s">
        <v>36</v>
      </c>
      <c r="W38" t="s">
        <v>157</v>
      </c>
      <c r="X38">
        <v>2416</v>
      </c>
      <c r="Y38">
        <v>8151</v>
      </c>
    </row>
    <row r="39" spans="1:25" x14ac:dyDescent="0.35">
      <c r="A39" t="s">
        <v>353</v>
      </c>
      <c r="B39" t="s">
        <v>354</v>
      </c>
      <c r="C39" t="s">
        <v>355</v>
      </c>
      <c r="D39" t="s">
        <v>356</v>
      </c>
      <c r="F39" t="s">
        <v>203</v>
      </c>
      <c r="G39" s="34">
        <v>44276</v>
      </c>
      <c r="I39" t="s">
        <v>28</v>
      </c>
      <c r="J39" t="s">
        <v>140</v>
      </c>
      <c r="K39" t="s">
        <v>141</v>
      </c>
      <c r="L39" t="s">
        <v>145</v>
      </c>
      <c r="M39" t="s">
        <v>183</v>
      </c>
      <c r="N39" t="s">
        <v>357</v>
      </c>
      <c r="O39" t="s">
        <v>539</v>
      </c>
      <c r="P39" t="s">
        <v>358</v>
      </c>
      <c r="Q39" t="s">
        <v>595</v>
      </c>
      <c r="R39" s="35">
        <v>13.5169</v>
      </c>
      <c r="S39" s="35">
        <v>39.482100000000003</v>
      </c>
      <c r="T39" t="s">
        <v>35</v>
      </c>
      <c r="U39" t="s">
        <v>36</v>
      </c>
      <c r="W39" t="s">
        <v>54</v>
      </c>
      <c r="X39">
        <v>42</v>
      </c>
      <c r="Y39">
        <v>109</v>
      </c>
    </row>
    <row r="40" spans="1:25" x14ac:dyDescent="0.35">
      <c r="A40" t="s">
        <v>359</v>
      </c>
      <c r="B40" t="s">
        <v>360</v>
      </c>
      <c r="C40" t="s">
        <v>361</v>
      </c>
      <c r="D40" t="s">
        <v>362</v>
      </c>
      <c r="F40" t="s">
        <v>27</v>
      </c>
      <c r="G40" s="34">
        <v>44228</v>
      </c>
      <c r="I40" t="s">
        <v>28</v>
      </c>
      <c r="J40" t="s">
        <v>140</v>
      </c>
      <c r="K40" t="s">
        <v>141</v>
      </c>
      <c r="L40" t="s">
        <v>145</v>
      </c>
      <c r="M40" t="s">
        <v>183</v>
      </c>
      <c r="N40" t="s">
        <v>250</v>
      </c>
      <c r="O40" t="s">
        <v>538</v>
      </c>
      <c r="P40" t="s">
        <v>363</v>
      </c>
      <c r="Q40" t="s">
        <v>595</v>
      </c>
      <c r="R40" s="35">
        <v>13.510999999999999</v>
      </c>
      <c r="S40" s="35">
        <v>39.463200000000001</v>
      </c>
      <c r="T40" t="s">
        <v>35</v>
      </c>
      <c r="U40" t="s">
        <v>36</v>
      </c>
      <c r="W40" t="s">
        <v>54</v>
      </c>
      <c r="X40">
        <v>160</v>
      </c>
      <c r="Y40">
        <v>705</v>
      </c>
    </row>
    <row r="41" spans="1:25" x14ac:dyDescent="0.35">
      <c r="A41" t="s">
        <v>364</v>
      </c>
      <c r="B41" t="s">
        <v>365</v>
      </c>
      <c r="C41" t="s">
        <v>366</v>
      </c>
      <c r="D41" t="s">
        <v>367</v>
      </c>
      <c r="E41" t="s">
        <v>126</v>
      </c>
      <c r="F41" t="s">
        <v>27</v>
      </c>
      <c r="G41" s="34">
        <v>44268</v>
      </c>
      <c r="I41" t="s">
        <v>28</v>
      </c>
      <c r="J41" t="s">
        <v>140</v>
      </c>
      <c r="K41" t="s">
        <v>141</v>
      </c>
      <c r="L41" t="s">
        <v>142</v>
      </c>
      <c r="M41" t="s">
        <v>143</v>
      </c>
      <c r="N41" t="s">
        <v>614</v>
      </c>
      <c r="O41" t="s">
        <v>144</v>
      </c>
      <c r="P41" t="s">
        <v>368</v>
      </c>
      <c r="Q41" t="s">
        <v>156</v>
      </c>
      <c r="R41" s="35">
        <v>13.628</v>
      </c>
      <c r="S41" s="35">
        <v>38.987400000000001</v>
      </c>
      <c r="T41" t="s">
        <v>35</v>
      </c>
      <c r="U41" t="s">
        <v>36</v>
      </c>
      <c r="W41" t="s">
        <v>157</v>
      </c>
      <c r="X41">
        <v>414</v>
      </c>
      <c r="Y41">
        <v>1461</v>
      </c>
    </row>
    <row r="42" spans="1:25" x14ac:dyDescent="0.35">
      <c r="A42" t="s">
        <v>685</v>
      </c>
      <c r="B42" t="s">
        <v>686</v>
      </c>
      <c r="D42" t="s">
        <v>603</v>
      </c>
      <c r="F42" t="s">
        <v>27</v>
      </c>
      <c r="G42" s="34">
        <v>45405</v>
      </c>
      <c r="I42" t="s">
        <v>369</v>
      </c>
      <c r="J42" t="s">
        <v>140</v>
      </c>
      <c r="K42" t="s">
        <v>141</v>
      </c>
      <c r="L42" t="s">
        <v>146</v>
      </c>
      <c r="M42" t="s">
        <v>147</v>
      </c>
      <c r="N42" t="s">
        <v>557</v>
      </c>
      <c r="O42" t="s">
        <v>558</v>
      </c>
      <c r="P42" t="s">
        <v>603</v>
      </c>
      <c r="Q42" t="s">
        <v>177</v>
      </c>
      <c r="R42" s="35">
        <v>14.3124</v>
      </c>
      <c r="S42" s="35">
        <v>38.172899999999998</v>
      </c>
      <c r="T42" t="s">
        <v>35</v>
      </c>
      <c r="U42" t="s">
        <v>36</v>
      </c>
      <c r="W42" t="s">
        <v>54</v>
      </c>
      <c r="X42">
        <v>1451</v>
      </c>
      <c r="Y42">
        <v>7273</v>
      </c>
    </row>
    <row r="43" spans="1:25" x14ac:dyDescent="0.35">
      <c r="A43" t="s">
        <v>687</v>
      </c>
      <c r="B43" t="s">
        <v>688</v>
      </c>
      <c r="D43" t="s">
        <v>640</v>
      </c>
      <c r="E43" t="s">
        <v>641</v>
      </c>
      <c r="F43" t="s">
        <v>27</v>
      </c>
      <c r="G43" s="34">
        <v>45308</v>
      </c>
      <c r="I43" t="s">
        <v>53</v>
      </c>
      <c r="J43" t="s">
        <v>140</v>
      </c>
      <c r="K43" t="s">
        <v>141</v>
      </c>
      <c r="L43" t="s">
        <v>226</v>
      </c>
      <c r="M43" t="s">
        <v>227</v>
      </c>
      <c r="N43" t="s">
        <v>712</v>
      </c>
      <c r="O43" t="s">
        <v>228</v>
      </c>
      <c r="P43" t="s">
        <v>637</v>
      </c>
      <c r="Q43" t="s">
        <v>145</v>
      </c>
      <c r="R43" s="35">
        <v>12.783099999999999</v>
      </c>
      <c r="S43" s="35">
        <v>39.533499999999997</v>
      </c>
      <c r="T43" t="s">
        <v>35</v>
      </c>
      <c r="U43" t="s">
        <v>36</v>
      </c>
      <c r="W43" t="s">
        <v>157</v>
      </c>
      <c r="X43">
        <v>5</v>
      </c>
      <c r="Y43">
        <v>17</v>
      </c>
    </row>
    <row r="44" spans="1:25" x14ac:dyDescent="0.35">
      <c r="A44" t="s">
        <v>370</v>
      </c>
      <c r="B44" t="s">
        <v>371</v>
      </c>
      <c r="C44" t="s">
        <v>372</v>
      </c>
      <c r="D44" t="s">
        <v>373</v>
      </c>
      <c r="E44" t="s">
        <v>374</v>
      </c>
      <c r="F44" t="s">
        <v>27</v>
      </c>
      <c r="G44" s="34">
        <v>44201</v>
      </c>
      <c r="I44" t="s">
        <v>28</v>
      </c>
      <c r="J44" t="s">
        <v>140</v>
      </c>
      <c r="K44" t="s">
        <v>141</v>
      </c>
      <c r="L44" t="s">
        <v>146</v>
      </c>
      <c r="M44" t="s">
        <v>147</v>
      </c>
      <c r="N44" t="s">
        <v>567</v>
      </c>
      <c r="O44" t="s">
        <v>149</v>
      </c>
      <c r="P44" t="s">
        <v>343</v>
      </c>
      <c r="Q44" t="s">
        <v>177</v>
      </c>
      <c r="R44" s="35">
        <v>14.388299999999999</v>
      </c>
      <c r="S44" s="35">
        <v>37.767899999999997</v>
      </c>
      <c r="T44" t="s">
        <v>35</v>
      </c>
      <c r="U44" t="s">
        <v>36</v>
      </c>
      <c r="W44" t="s">
        <v>157</v>
      </c>
      <c r="X44">
        <v>28</v>
      </c>
      <c r="Y44">
        <v>150</v>
      </c>
    </row>
    <row r="45" spans="1:25" x14ac:dyDescent="0.35">
      <c r="A45" t="s">
        <v>375</v>
      </c>
      <c r="B45" t="s">
        <v>376</v>
      </c>
      <c r="C45" t="s">
        <v>377</v>
      </c>
      <c r="D45" t="s">
        <v>378</v>
      </c>
      <c r="E45" t="s">
        <v>379</v>
      </c>
      <c r="F45" t="s">
        <v>27</v>
      </c>
      <c r="G45" s="34">
        <v>44602</v>
      </c>
      <c r="I45" t="s">
        <v>28</v>
      </c>
      <c r="J45" t="s">
        <v>140</v>
      </c>
      <c r="K45" t="s">
        <v>141</v>
      </c>
      <c r="L45" t="s">
        <v>145</v>
      </c>
      <c r="M45" t="s">
        <v>183</v>
      </c>
      <c r="N45" t="s">
        <v>543</v>
      </c>
      <c r="O45" t="s">
        <v>185</v>
      </c>
      <c r="P45" t="s">
        <v>380</v>
      </c>
      <c r="Q45" t="s">
        <v>145</v>
      </c>
      <c r="R45" s="35">
        <v>13.468400000000001</v>
      </c>
      <c r="S45" s="35">
        <v>39.549399999999999</v>
      </c>
      <c r="T45" t="s">
        <v>35</v>
      </c>
      <c r="U45" t="s">
        <v>36</v>
      </c>
      <c r="W45" t="s">
        <v>157</v>
      </c>
      <c r="X45">
        <v>259</v>
      </c>
      <c r="Y45">
        <v>827</v>
      </c>
    </row>
    <row r="46" spans="1:25" x14ac:dyDescent="0.35">
      <c r="A46" t="s">
        <v>381</v>
      </c>
      <c r="B46" t="s">
        <v>382</v>
      </c>
      <c r="C46" t="s">
        <v>383</v>
      </c>
      <c r="D46" t="s">
        <v>384</v>
      </c>
      <c r="F46" t="s">
        <v>27</v>
      </c>
      <c r="G46" s="34">
        <v>44147</v>
      </c>
      <c r="I46" t="s">
        <v>28</v>
      </c>
      <c r="J46" t="s">
        <v>140</v>
      </c>
      <c r="K46" t="s">
        <v>141</v>
      </c>
      <c r="L46" t="s">
        <v>146</v>
      </c>
      <c r="M46" t="s">
        <v>147</v>
      </c>
      <c r="N46" t="s">
        <v>196</v>
      </c>
      <c r="O46" t="s">
        <v>197</v>
      </c>
      <c r="P46" t="s">
        <v>385</v>
      </c>
      <c r="Q46" t="s">
        <v>177</v>
      </c>
      <c r="R46" s="35">
        <v>14.123100000000001</v>
      </c>
      <c r="S46" s="35">
        <v>37.869599999999998</v>
      </c>
      <c r="T46" t="s">
        <v>35</v>
      </c>
      <c r="U46" t="s">
        <v>36</v>
      </c>
      <c r="W46" t="s">
        <v>157</v>
      </c>
      <c r="X46">
        <v>699</v>
      </c>
      <c r="Y46">
        <v>3841</v>
      </c>
    </row>
    <row r="47" spans="1:25" x14ac:dyDescent="0.35">
      <c r="A47" t="s">
        <v>386</v>
      </c>
      <c r="B47" t="s">
        <v>387</v>
      </c>
      <c r="C47" t="s">
        <v>388</v>
      </c>
      <c r="D47" t="s">
        <v>389</v>
      </c>
      <c r="F47" t="s">
        <v>27</v>
      </c>
      <c r="G47" s="34">
        <v>44171</v>
      </c>
      <c r="I47" t="s">
        <v>28</v>
      </c>
      <c r="J47" t="s">
        <v>140</v>
      </c>
      <c r="K47" t="s">
        <v>141</v>
      </c>
      <c r="L47" t="s">
        <v>262</v>
      </c>
      <c r="M47" t="s">
        <v>263</v>
      </c>
      <c r="N47" t="s">
        <v>264</v>
      </c>
      <c r="O47" t="s">
        <v>265</v>
      </c>
      <c r="P47" t="s">
        <v>125</v>
      </c>
      <c r="Q47" t="s">
        <v>145</v>
      </c>
      <c r="R47" s="35">
        <v>14.2784</v>
      </c>
      <c r="S47" s="35">
        <v>39.4604</v>
      </c>
      <c r="T47" t="s">
        <v>35</v>
      </c>
      <c r="U47" t="s">
        <v>36</v>
      </c>
      <c r="W47" t="s">
        <v>157</v>
      </c>
      <c r="X47">
        <v>272</v>
      </c>
      <c r="Y47">
        <v>680</v>
      </c>
    </row>
    <row r="48" spans="1:25" x14ac:dyDescent="0.35">
      <c r="A48" t="s">
        <v>390</v>
      </c>
      <c r="B48" t="s">
        <v>391</v>
      </c>
      <c r="C48" t="s">
        <v>392</v>
      </c>
      <c r="D48" t="s">
        <v>393</v>
      </c>
      <c r="F48" t="s">
        <v>27</v>
      </c>
      <c r="G48" s="34">
        <v>44276</v>
      </c>
      <c r="I48" t="s">
        <v>28</v>
      </c>
      <c r="J48" t="s">
        <v>140</v>
      </c>
      <c r="K48" t="s">
        <v>141</v>
      </c>
      <c r="L48" t="s">
        <v>145</v>
      </c>
      <c r="M48" t="s">
        <v>183</v>
      </c>
      <c r="N48" t="s">
        <v>540</v>
      </c>
      <c r="O48" t="s">
        <v>541</v>
      </c>
      <c r="P48" t="s">
        <v>342</v>
      </c>
      <c r="Q48" t="s">
        <v>145</v>
      </c>
      <c r="R48" s="35">
        <v>13.487500000000001</v>
      </c>
      <c r="S48" s="35">
        <v>39.471899999999998</v>
      </c>
      <c r="T48" t="s">
        <v>35</v>
      </c>
      <c r="U48" t="s">
        <v>36</v>
      </c>
      <c r="W48" t="s">
        <v>157</v>
      </c>
      <c r="X48">
        <v>59</v>
      </c>
      <c r="Y48">
        <v>291</v>
      </c>
    </row>
    <row r="49" spans="1:25" x14ac:dyDescent="0.35">
      <c r="A49" t="s">
        <v>394</v>
      </c>
      <c r="B49" t="s">
        <v>395</v>
      </c>
      <c r="C49" t="s">
        <v>396</v>
      </c>
      <c r="D49" t="s">
        <v>397</v>
      </c>
      <c r="F49" t="s">
        <v>27</v>
      </c>
      <c r="G49" s="34">
        <v>44166</v>
      </c>
      <c r="I49" t="s">
        <v>28</v>
      </c>
      <c r="J49" t="s">
        <v>140</v>
      </c>
      <c r="K49" t="s">
        <v>141</v>
      </c>
      <c r="L49" t="s">
        <v>142</v>
      </c>
      <c r="M49" t="s">
        <v>143</v>
      </c>
      <c r="N49" t="s">
        <v>614</v>
      </c>
      <c r="O49" t="s">
        <v>144</v>
      </c>
      <c r="P49" t="s">
        <v>125</v>
      </c>
      <c r="R49" s="35">
        <v>13.6297</v>
      </c>
      <c r="S49" s="35">
        <v>38.991500000000002</v>
      </c>
      <c r="T49" t="s">
        <v>35</v>
      </c>
      <c r="U49" t="s">
        <v>36</v>
      </c>
      <c r="W49" t="s">
        <v>157</v>
      </c>
      <c r="X49">
        <v>2566</v>
      </c>
      <c r="Y49">
        <v>10978</v>
      </c>
    </row>
    <row r="50" spans="1:25" x14ac:dyDescent="0.35">
      <c r="A50" t="s">
        <v>398</v>
      </c>
      <c r="B50" t="s">
        <v>399</v>
      </c>
      <c r="C50" t="s">
        <v>400</v>
      </c>
      <c r="D50" t="s">
        <v>401</v>
      </c>
      <c r="F50" t="s">
        <v>27</v>
      </c>
      <c r="G50" s="34">
        <v>44287</v>
      </c>
      <c r="I50" t="s">
        <v>28</v>
      </c>
      <c r="J50" t="s">
        <v>140</v>
      </c>
      <c r="K50" t="s">
        <v>141</v>
      </c>
      <c r="L50" t="s">
        <v>145</v>
      </c>
      <c r="M50" t="s">
        <v>183</v>
      </c>
      <c r="N50" t="s">
        <v>357</v>
      </c>
      <c r="O50" t="s">
        <v>539</v>
      </c>
      <c r="P50" t="s">
        <v>402</v>
      </c>
      <c r="Q50" t="s">
        <v>595</v>
      </c>
      <c r="R50" s="35">
        <v>13.5344</v>
      </c>
      <c r="S50" s="35">
        <v>39.500100000000003</v>
      </c>
      <c r="T50" t="s">
        <v>35</v>
      </c>
      <c r="U50" t="s">
        <v>36</v>
      </c>
      <c r="W50" t="s">
        <v>54</v>
      </c>
      <c r="X50">
        <v>135</v>
      </c>
      <c r="Y50">
        <v>386</v>
      </c>
    </row>
    <row r="51" spans="1:25" x14ac:dyDescent="0.35">
      <c r="A51" t="s">
        <v>403</v>
      </c>
      <c r="B51" t="s">
        <v>404</v>
      </c>
      <c r="C51" t="s">
        <v>405</v>
      </c>
      <c r="D51" t="s">
        <v>406</v>
      </c>
      <c r="E51" t="s">
        <v>407</v>
      </c>
      <c r="F51" t="s">
        <v>27</v>
      </c>
      <c r="G51" s="34">
        <v>44367</v>
      </c>
      <c r="I51" t="s">
        <v>28</v>
      </c>
      <c r="J51" t="s">
        <v>140</v>
      </c>
      <c r="K51" t="s">
        <v>141</v>
      </c>
      <c r="L51" t="s">
        <v>145</v>
      </c>
      <c r="M51" t="s">
        <v>183</v>
      </c>
      <c r="N51" t="s">
        <v>540</v>
      </c>
      <c r="O51" t="s">
        <v>541</v>
      </c>
      <c r="P51" t="s">
        <v>408</v>
      </c>
      <c r="Q51" t="s">
        <v>145</v>
      </c>
      <c r="R51" s="35">
        <v>13.4946</v>
      </c>
      <c r="S51" s="35">
        <v>39.466900000000003</v>
      </c>
      <c r="T51" t="s">
        <v>35</v>
      </c>
      <c r="U51" t="s">
        <v>36</v>
      </c>
      <c r="W51" t="s">
        <v>157</v>
      </c>
      <c r="X51">
        <v>41</v>
      </c>
      <c r="Y51">
        <v>204</v>
      </c>
    </row>
    <row r="52" spans="1:25" x14ac:dyDescent="0.35">
      <c r="A52" t="s">
        <v>409</v>
      </c>
      <c r="B52" t="s">
        <v>410</v>
      </c>
      <c r="C52" t="s">
        <v>411</v>
      </c>
      <c r="D52" t="s">
        <v>412</v>
      </c>
      <c r="E52" t="s">
        <v>413</v>
      </c>
      <c r="F52" t="s">
        <v>27</v>
      </c>
      <c r="G52" s="34">
        <v>44287</v>
      </c>
      <c r="I52" t="s">
        <v>28</v>
      </c>
      <c r="J52" t="s">
        <v>140</v>
      </c>
      <c r="K52" t="s">
        <v>141</v>
      </c>
      <c r="L52" t="s">
        <v>146</v>
      </c>
      <c r="M52" t="s">
        <v>147</v>
      </c>
      <c r="N52" t="s">
        <v>711</v>
      </c>
      <c r="O52" t="s">
        <v>190</v>
      </c>
      <c r="P52" t="s">
        <v>191</v>
      </c>
      <c r="Q52" t="s">
        <v>177</v>
      </c>
      <c r="R52" s="35">
        <v>14.085699999999999</v>
      </c>
      <c r="S52" s="35">
        <v>38.279699999999998</v>
      </c>
      <c r="T52" t="s">
        <v>35</v>
      </c>
      <c r="U52" t="s">
        <v>36</v>
      </c>
      <c r="W52" t="s">
        <v>54</v>
      </c>
      <c r="X52">
        <v>367</v>
      </c>
      <c r="Y52">
        <v>1282</v>
      </c>
    </row>
    <row r="53" spans="1:25" x14ac:dyDescent="0.35">
      <c r="A53" t="s">
        <v>418</v>
      </c>
      <c r="B53" t="s">
        <v>419</v>
      </c>
      <c r="C53" t="s">
        <v>420</v>
      </c>
      <c r="D53" t="s">
        <v>421</v>
      </c>
      <c r="F53" t="s">
        <v>27</v>
      </c>
      <c r="G53" s="34">
        <v>44287</v>
      </c>
      <c r="I53" t="s">
        <v>28</v>
      </c>
      <c r="J53" t="s">
        <v>140</v>
      </c>
      <c r="K53" t="s">
        <v>141</v>
      </c>
      <c r="L53" t="s">
        <v>145</v>
      </c>
      <c r="M53" t="s">
        <v>183</v>
      </c>
      <c r="N53" t="s">
        <v>536</v>
      </c>
      <c r="O53" t="s">
        <v>537</v>
      </c>
      <c r="P53" t="s">
        <v>422</v>
      </c>
      <c r="Q53" t="s">
        <v>595</v>
      </c>
      <c r="R53" s="35">
        <v>13.510300000000001</v>
      </c>
      <c r="S53" s="35">
        <v>39.445599999999999</v>
      </c>
      <c r="T53" t="s">
        <v>35</v>
      </c>
      <c r="U53" t="s">
        <v>36</v>
      </c>
      <c r="W53" t="s">
        <v>54</v>
      </c>
      <c r="X53">
        <v>84</v>
      </c>
      <c r="Y53">
        <v>260</v>
      </c>
    </row>
    <row r="54" spans="1:25" x14ac:dyDescent="0.35">
      <c r="A54" t="s">
        <v>423</v>
      </c>
      <c r="B54" t="s">
        <v>424</v>
      </c>
      <c r="C54" t="s">
        <v>425</v>
      </c>
      <c r="D54" t="s">
        <v>426</v>
      </c>
      <c r="E54" t="s">
        <v>427</v>
      </c>
      <c r="F54" t="s">
        <v>27</v>
      </c>
      <c r="G54" s="34">
        <v>44378</v>
      </c>
      <c r="I54" t="s">
        <v>28</v>
      </c>
      <c r="J54" t="s">
        <v>140</v>
      </c>
      <c r="K54" t="s">
        <v>141</v>
      </c>
      <c r="L54" t="s">
        <v>142</v>
      </c>
      <c r="M54" t="s">
        <v>143</v>
      </c>
      <c r="N54" t="s">
        <v>510</v>
      </c>
      <c r="O54" t="s">
        <v>511</v>
      </c>
      <c r="P54" t="s">
        <v>242</v>
      </c>
      <c r="Q54" t="s">
        <v>218</v>
      </c>
      <c r="R54" s="35">
        <v>14.0997</v>
      </c>
      <c r="S54" s="35">
        <v>38.2744</v>
      </c>
      <c r="T54" t="s">
        <v>35</v>
      </c>
      <c r="U54" t="s">
        <v>36</v>
      </c>
      <c r="W54" t="s">
        <v>54</v>
      </c>
      <c r="X54">
        <v>567</v>
      </c>
      <c r="Y54">
        <v>2946</v>
      </c>
    </row>
    <row r="55" spans="1:25" x14ac:dyDescent="0.35">
      <c r="A55" t="s">
        <v>428</v>
      </c>
      <c r="B55" t="s">
        <v>429</v>
      </c>
      <c r="C55" t="s">
        <v>430</v>
      </c>
      <c r="D55" t="s">
        <v>431</v>
      </c>
      <c r="E55" t="s">
        <v>432</v>
      </c>
      <c r="F55" t="s">
        <v>27</v>
      </c>
      <c r="G55" s="34">
        <v>44378</v>
      </c>
      <c r="I55" t="s">
        <v>28</v>
      </c>
      <c r="J55" t="s">
        <v>140</v>
      </c>
      <c r="K55" t="s">
        <v>141</v>
      </c>
      <c r="L55" t="s">
        <v>142</v>
      </c>
      <c r="M55" t="s">
        <v>143</v>
      </c>
      <c r="N55" t="s">
        <v>510</v>
      </c>
      <c r="O55" t="s">
        <v>511</v>
      </c>
      <c r="P55" t="s">
        <v>433</v>
      </c>
      <c r="Q55" t="s">
        <v>218</v>
      </c>
      <c r="R55" s="35">
        <v>14.1579</v>
      </c>
      <c r="S55" s="35">
        <v>38.886499999999998</v>
      </c>
      <c r="T55" t="s">
        <v>35</v>
      </c>
      <c r="U55" t="s">
        <v>36</v>
      </c>
      <c r="W55" t="s">
        <v>54</v>
      </c>
      <c r="X55">
        <v>220</v>
      </c>
      <c r="Y55">
        <v>677</v>
      </c>
    </row>
    <row r="56" spans="1:25" x14ac:dyDescent="0.35">
      <c r="A56" t="s">
        <v>434</v>
      </c>
      <c r="B56" t="s">
        <v>435</v>
      </c>
      <c r="C56" t="s">
        <v>436</v>
      </c>
      <c r="D56" t="s">
        <v>437</v>
      </c>
      <c r="E56" t="s">
        <v>438</v>
      </c>
      <c r="F56" t="s">
        <v>27</v>
      </c>
      <c r="G56" s="34">
        <v>44642</v>
      </c>
      <c r="I56" t="s">
        <v>28</v>
      </c>
      <c r="J56" t="s">
        <v>140</v>
      </c>
      <c r="K56" t="s">
        <v>141</v>
      </c>
      <c r="L56" t="s">
        <v>142</v>
      </c>
      <c r="M56" t="s">
        <v>143</v>
      </c>
      <c r="N56" t="s">
        <v>510</v>
      </c>
      <c r="O56" t="s">
        <v>511</v>
      </c>
      <c r="P56" t="s">
        <v>439</v>
      </c>
      <c r="Q56" t="s">
        <v>218</v>
      </c>
      <c r="R56" s="35">
        <v>14.1752</v>
      </c>
      <c r="S56" s="35">
        <v>38.886899999999997</v>
      </c>
      <c r="T56" t="s">
        <v>35</v>
      </c>
      <c r="U56" t="s">
        <v>36</v>
      </c>
      <c r="W56" t="s">
        <v>54</v>
      </c>
      <c r="X56">
        <v>93</v>
      </c>
      <c r="Y56">
        <v>287</v>
      </c>
    </row>
    <row r="57" spans="1:25" x14ac:dyDescent="0.35">
      <c r="A57" t="s">
        <v>127</v>
      </c>
      <c r="B57" t="s">
        <v>127</v>
      </c>
      <c r="C57" t="s">
        <v>128</v>
      </c>
      <c r="D57" t="s">
        <v>129</v>
      </c>
      <c r="F57" t="s">
        <v>27</v>
      </c>
      <c r="G57" s="34">
        <v>44197</v>
      </c>
      <c r="I57" t="s">
        <v>604</v>
      </c>
      <c r="J57" t="s">
        <v>130</v>
      </c>
      <c r="K57" t="s">
        <v>131</v>
      </c>
      <c r="L57" t="s">
        <v>132</v>
      </c>
      <c r="M57" t="s">
        <v>133</v>
      </c>
      <c r="N57" t="s">
        <v>134</v>
      </c>
      <c r="O57" t="s">
        <v>135</v>
      </c>
      <c r="P57" t="s">
        <v>136</v>
      </c>
      <c r="Q57" t="s">
        <v>605</v>
      </c>
      <c r="R57" s="35">
        <v>9.3513999999999999</v>
      </c>
      <c r="S57" s="35">
        <v>42.781100000000002</v>
      </c>
      <c r="T57" t="s">
        <v>35</v>
      </c>
      <c r="U57" t="s">
        <v>36</v>
      </c>
      <c r="W57" t="s">
        <v>54</v>
      </c>
      <c r="X57">
        <v>6896</v>
      </c>
      <c r="Y57">
        <v>42042</v>
      </c>
    </row>
    <row r="58" spans="1:25" x14ac:dyDescent="0.35">
      <c r="A58" t="s">
        <v>137</v>
      </c>
      <c r="B58" t="s">
        <v>137</v>
      </c>
      <c r="C58" t="s">
        <v>138</v>
      </c>
      <c r="D58" t="s">
        <v>139</v>
      </c>
      <c r="F58" t="s">
        <v>27</v>
      </c>
      <c r="G58" s="34">
        <v>44198</v>
      </c>
      <c r="I58" t="s">
        <v>604</v>
      </c>
      <c r="J58" t="s">
        <v>130</v>
      </c>
      <c r="K58" t="s">
        <v>131</v>
      </c>
      <c r="L58" t="s">
        <v>132</v>
      </c>
      <c r="M58" t="s">
        <v>133</v>
      </c>
      <c r="N58" t="s">
        <v>134</v>
      </c>
      <c r="O58" t="s">
        <v>135</v>
      </c>
      <c r="P58" t="s">
        <v>136</v>
      </c>
      <c r="Q58" t="s">
        <v>605</v>
      </c>
      <c r="R58" s="35">
        <v>9.3621999999999996</v>
      </c>
      <c r="S58" s="35">
        <v>42.738100000000003</v>
      </c>
      <c r="T58" t="s">
        <v>35</v>
      </c>
      <c r="U58" t="s">
        <v>36</v>
      </c>
      <c r="W58" t="s">
        <v>54</v>
      </c>
      <c r="X58">
        <v>10045</v>
      </c>
      <c r="Y58">
        <v>51953</v>
      </c>
    </row>
    <row r="59" spans="1:25" x14ac:dyDescent="0.35">
      <c r="A59" t="s">
        <v>440</v>
      </c>
      <c r="B59" t="s">
        <v>441</v>
      </c>
      <c r="C59" t="s">
        <v>442</v>
      </c>
      <c r="D59" t="s">
        <v>443</v>
      </c>
      <c r="E59" t="s">
        <v>444</v>
      </c>
      <c r="F59" t="s">
        <v>27</v>
      </c>
      <c r="G59" s="34">
        <v>44460</v>
      </c>
      <c r="I59" t="s">
        <v>53</v>
      </c>
      <c r="J59" t="s">
        <v>140</v>
      </c>
      <c r="K59" t="s">
        <v>141</v>
      </c>
      <c r="L59" t="s">
        <v>145</v>
      </c>
      <c r="M59" t="s">
        <v>183</v>
      </c>
      <c r="N59" t="s">
        <v>184</v>
      </c>
      <c r="O59" t="s">
        <v>535</v>
      </c>
      <c r="P59" t="s">
        <v>445</v>
      </c>
      <c r="Q59" t="s">
        <v>595</v>
      </c>
      <c r="R59" s="35">
        <v>13.492599999999999</v>
      </c>
      <c r="S59" s="35">
        <v>39.417099999999998</v>
      </c>
      <c r="T59" t="s">
        <v>35</v>
      </c>
      <c r="U59" t="s">
        <v>36</v>
      </c>
      <c r="W59" t="s">
        <v>54</v>
      </c>
      <c r="X59">
        <v>2319</v>
      </c>
      <c r="Y59">
        <v>9868</v>
      </c>
    </row>
    <row r="60" spans="1:25" x14ac:dyDescent="0.35">
      <c r="A60" t="s">
        <v>446</v>
      </c>
      <c r="B60" t="s">
        <v>447</v>
      </c>
      <c r="C60" t="s">
        <v>448</v>
      </c>
      <c r="D60" t="s">
        <v>449</v>
      </c>
      <c r="E60" t="s">
        <v>450</v>
      </c>
      <c r="F60" t="s">
        <v>27</v>
      </c>
      <c r="G60" s="34">
        <v>44575</v>
      </c>
      <c r="I60" t="s">
        <v>28</v>
      </c>
      <c r="J60" t="s">
        <v>140</v>
      </c>
      <c r="K60" t="s">
        <v>141</v>
      </c>
      <c r="L60" t="s">
        <v>146</v>
      </c>
      <c r="M60" t="s">
        <v>147</v>
      </c>
      <c r="N60" t="s">
        <v>559</v>
      </c>
      <c r="O60" t="s">
        <v>451</v>
      </c>
      <c r="P60" t="s">
        <v>108</v>
      </c>
      <c r="Q60" t="s">
        <v>177</v>
      </c>
      <c r="R60" s="35">
        <v>14.106</v>
      </c>
      <c r="S60" s="35">
        <v>38.458399999999997</v>
      </c>
      <c r="T60" t="s">
        <v>35</v>
      </c>
      <c r="U60" t="s">
        <v>36</v>
      </c>
      <c r="W60" t="s">
        <v>157</v>
      </c>
      <c r="X60">
        <v>1007</v>
      </c>
      <c r="Y60">
        <v>3148</v>
      </c>
    </row>
    <row r="61" spans="1:25" x14ac:dyDescent="0.35">
      <c r="A61" t="s">
        <v>452</v>
      </c>
      <c r="B61" t="s">
        <v>453</v>
      </c>
      <c r="C61" t="s">
        <v>454</v>
      </c>
      <c r="D61" t="s">
        <v>455</v>
      </c>
      <c r="F61" t="s">
        <v>27</v>
      </c>
      <c r="G61" s="34">
        <v>44209</v>
      </c>
      <c r="I61" t="s">
        <v>28</v>
      </c>
      <c r="J61" t="s">
        <v>140</v>
      </c>
      <c r="K61" t="s">
        <v>141</v>
      </c>
      <c r="L61" t="s">
        <v>146</v>
      </c>
      <c r="M61" t="s">
        <v>147</v>
      </c>
      <c r="N61" t="s">
        <v>567</v>
      </c>
      <c r="O61" t="s">
        <v>149</v>
      </c>
      <c r="P61" t="s">
        <v>251</v>
      </c>
      <c r="Q61" t="s">
        <v>177</v>
      </c>
      <c r="R61" s="35">
        <v>14.386900000000001</v>
      </c>
      <c r="S61" s="35">
        <v>37.770899999999997</v>
      </c>
      <c r="T61" t="s">
        <v>35</v>
      </c>
      <c r="U61" t="s">
        <v>36</v>
      </c>
      <c r="W61" t="s">
        <v>157</v>
      </c>
      <c r="X61">
        <v>83</v>
      </c>
      <c r="Y61">
        <v>250</v>
      </c>
    </row>
    <row r="62" spans="1:25" x14ac:dyDescent="0.35">
      <c r="A62" t="s">
        <v>456</v>
      </c>
      <c r="B62" t="s">
        <v>457</v>
      </c>
      <c r="C62" t="s">
        <v>458</v>
      </c>
      <c r="D62" t="s">
        <v>459</v>
      </c>
      <c r="E62" t="s">
        <v>460</v>
      </c>
      <c r="F62" t="s">
        <v>27</v>
      </c>
      <c r="G62" s="34">
        <v>44647</v>
      </c>
      <c r="I62" t="s">
        <v>28</v>
      </c>
      <c r="J62" t="s">
        <v>140</v>
      </c>
      <c r="K62" t="s">
        <v>141</v>
      </c>
      <c r="L62" t="s">
        <v>142</v>
      </c>
      <c r="M62" t="s">
        <v>143</v>
      </c>
      <c r="N62" t="s">
        <v>614</v>
      </c>
      <c r="O62" t="s">
        <v>144</v>
      </c>
      <c r="P62" t="s">
        <v>125</v>
      </c>
      <c r="R62" s="35">
        <v>13.637</v>
      </c>
      <c r="S62" s="35">
        <v>38.991300000000003</v>
      </c>
      <c r="T62" t="s">
        <v>35</v>
      </c>
      <c r="U62" t="s">
        <v>36</v>
      </c>
      <c r="W62" t="s">
        <v>157</v>
      </c>
      <c r="X62">
        <v>472</v>
      </c>
      <c r="Y62">
        <v>1853</v>
      </c>
    </row>
    <row r="63" spans="1:25" x14ac:dyDescent="0.35">
      <c r="A63" t="s">
        <v>461</v>
      </c>
      <c r="B63" t="s">
        <v>462</v>
      </c>
      <c r="C63" t="s">
        <v>463</v>
      </c>
      <c r="D63" t="s">
        <v>464</v>
      </c>
      <c r="E63" t="s">
        <v>465</v>
      </c>
      <c r="F63" t="s">
        <v>27</v>
      </c>
      <c r="G63" s="34">
        <v>44145</v>
      </c>
      <c r="I63" t="s">
        <v>28</v>
      </c>
      <c r="J63" t="s">
        <v>140</v>
      </c>
      <c r="K63" t="s">
        <v>141</v>
      </c>
      <c r="L63" t="s">
        <v>146</v>
      </c>
      <c r="M63" t="s">
        <v>147</v>
      </c>
      <c r="N63" t="s">
        <v>567</v>
      </c>
      <c r="O63" t="s">
        <v>149</v>
      </c>
      <c r="P63" t="s">
        <v>256</v>
      </c>
      <c r="Q63" t="s">
        <v>177</v>
      </c>
      <c r="R63" s="35">
        <v>14.398400000000001</v>
      </c>
      <c r="S63" s="35">
        <v>37.781500000000001</v>
      </c>
      <c r="T63" t="s">
        <v>35</v>
      </c>
      <c r="U63" t="s">
        <v>36</v>
      </c>
      <c r="W63" t="s">
        <v>157</v>
      </c>
      <c r="X63">
        <v>795</v>
      </c>
      <c r="Y63">
        <v>5308</v>
      </c>
    </row>
    <row r="64" spans="1:25" x14ac:dyDescent="0.35">
      <c r="A64" t="s">
        <v>466</v>
      </c>
      <c r="B64" t="s">
        <v>467</v>
      </c>
      <c r="C64" t="s">
        <v>468</v>
      </c>
      <c r="D64" t="s">
        <v>469</v>
      </c>
      <c r="E64" t="s">
        <v>470</v>
      </c>
      <c r="F64" t="s">
        <v>27</v>
      </c>
      <c r="G64" s="34">
        <v>44145</v>
      </c>
      <c r="I64" t="s">
        <v>28</v>
      </c>
      <c r="J64" t="s">
        <v>140</v>
      </c>
      <c r="K64" t="s">
        <v>141</v>
      </c>
      <c r="L64" t="s">
        <v>146</v>
      </c>
      <c r="M64" t="s">
        <v>147</v>
      </c>
      <c r="N64" t="s">
        <v>567</v>
      </c>
      <c r="O64" t="s">
        <v>149</v>
      </c>
      <c r="P64" t="s">
        <v>256</v>
      </c>
      <c r="Q64" t="s">
        <v>177</v>
      </c>
      <c r="R64" s="35">
        <v>14.3933</v>
      </c>
      <c r="S64" s="35">
        <v>37.777200000000001</v>
      </c>
      <c r="T64" t="s">
        <v>35</v>
      </c>
      <c r="U64" t="s">
        <v>36</v>
      </c>
      <c r="W64" t="s">
        <v>157</v>
      </c>
      <c r="X64">
        <v>305</v>
      </c>
      <c r="Y64">
        <v>557</v>
      </c>
    </row>
    <row r="65" spans="1:25" x14ac:dyDescent="0.35">
      <c r="A65" t="s">
        <v>471</v>
      </c>
      <c r="B65" t="s">
        <v>472</v>
      </c>
      <c r="C65" t="s">
        <v>473</v>
      </c>
      <c r="D65" t="s">
        <v>474</v>
      </c>
      <c r="F65" t="s">
        <v>27</v>
      </c>
      <c r="G65" s="34">
        <v>44145</v>
      </c>
      <c r="I65" t="s">
        <v>28</v>
      </c>
      <c r="J65" t="s">
        <v>140</v>
      </c>
      <c r="K65" t="s">
        <v>141</v>
      </c>
      <c r="L65" t="s">
        <v>146</v>
      </c>
      <c r="M65" t="s">
        <v>147</v>
      </c>
      <c r="N65" t="s">
        <v>567</v>
      </c>
      <c r="O65" t="s">
        <v>149</v>
      </c>
      <c r="P65" t="s">
        <v>256</v>
      </c>
      <c r="Q65" t="s">
        <v>177</v>
      </c>
      <c r="R65" s="35">
        <v>14.3955</v>
      </c>
      <c r="S65" s="35">
        <v>37.777700000000003</v>
      </c>
      <c r="T65" t="s">
        <v>35</v>
      </c>
      <c r="U65" t="s">
        <v>36</v>
      </c>
      <c r="W65" t="s">
        <v>157</v>
      </c>
      <c r="X65">
        <v>131</v>
      </c>
      <c r="Y65">
        <v>1302</v>
      </c>
    </row>
    <row r="66" spans="1:25" x14ac:dyDescent="0.35">
      <c r="A66" t="s">
        <v>475</v>
      </c>
      <c r="B66" t="s">
        <v>476</v>
      </c>
      <c r="C66" t="s">
        <v>477</v>
      </c>
      <c r="D66" t="s">
        <v>478</v>
      </c>
      <c r="E66" t="s">
        <v>479</v>
      </c>
      <c r="F66" t="s">
        <v>27</v>
      </c>
      <c r="G66" s="34">
        <v>44287</v>
      </c>
      <c r="I66" t="s">
        <v>28</v>
      </c>
      <c r="J66" t="s">
        <v>140</v>
      </c>
      <c r="K66" t="s">
        <v>141</v>
      </c>
      <c r="L66" t="s">
        <v>146</v>
      </c>
      <c r="M66" t="s">
        <v>147</v>
      </c>
      <c r="N66" t="s">
        <v>711</v>
      </c>
      <c r="O66" t="s">
        <v>190</v>
      </c>
      <c r="P66" t="s">
        <v>163</v>
      </c>
      <c r="Q66" t="s">
        <v>177</v>
      </c>
      <c r="R66" s="35">
        <v>14.1112</v>
      </c>
      <c r="S66" s="35">
        <v>38.299700000000001</v>
      </c>
      <c r="T66" t="s">
        <v>35</v>
      </c>
      <c r="U66" t="s">
        <v>36</v>
      </c>
      <c r="W66" t="s">
        <v>157</v>
      </c>
      <c r="X66">
        <v>451</v>
      </c>
      <c r="Y66">
        <v>1755</v>
      </c>
    </row>
    <row r="67" spans="1:25" x14ac:dyDescent="0.35">
      <c r="A67" t="s">
        <v>480</v>
      </c>
      <c r="B67" t="s">
        <v>481</v>
      </c>
      <c r="C67" t="s">
        <v>482</v>
      </c>
      <c r="D67" t="s">
        <v>483</v>
      </c>
      <c r="E67" t="s">
        <v>484</v>
      </c>
      <c r="F67" t="s">
        <v>27</v>
      </c>
      <c r="G67" s="34">
        <v>44149</v>
      </c>
      <c r="I67" t="s">
        <v>28</v>
      </c>
      <c r="J67" t="s">
        <v>140</v>
      </c>
      <c r="K67" t="s">
        <v>141</v>
      </c>
      <c r="L67" t="s">
        <v>146</v>
      </c>
      <c r="M67" t="s">
        <v>147</v>
      </c>
      <c r="N67" t="s">
        <v>711</v>
      </c>
      <c r="O67" t="s">
        <v>190</v>
      </c>
      <c r="P67" t="s">
        <v>125</v>
      </c>
      <c r="Q67" t="s">
        <v>177</v>
      </c>
      <c r="R67" s="35">
        <v>14.1029</v>
      </c>
      <c r="S67" s="35">
        <v>38.287399999999998</v>
      </c>
      <c r="T67" t="s">
        <v>35</v>
      </c>
      <c r="U67" t="s">
        <v>36</v>
      </c>
      <c r="W67" t="s">
        <v>157</v>
      </c>
      <c r="X67">
        <v>3313</v>
      </c>
      <c r="Y67">
        <v>15560</v>
      </c>
    </row>
    <row r="68" spans="1:25" x14ac:dyDescent="0.35">
      <c r="A68" t="s">
        <v>486</v>
      </c>
      <c r="B68" t="s">
        <v>487</v>
      </c>
      <c r="C68" t="s">
        <v>488</v>
      </c>
      <c r="D68" t="s">
        <v>489</v>
      </c>
      <c r="F68" t="s">
        <v>27</v>
      </c>
      <c r="G68" s="34">
        <v>44156</v>
      </c>
      <c r="I68" t="s">
        <v>28</v>
      </c>
      <c r="J68" t="s">
        <v>140</v>
      </c>
      <c r="K68" t="s">
        <v>141</v>
      </c>
      <c r="L68" t="s">
        <v>146</v>
      </c>
      <c r="M68" t="s">
        <v>147</v>
      </c>
      <c r="N68" t="s">
        <v>711</v>
      </c>
      <c r="O68" t="s">
        <v>190</v>
      </c>
      <c r="P68" t="s">
        <v>242</v>
      </c>
      <c r="Q68" t="s">
        <v>177</v>
      </c>
      <c r="R68" s="35">
        <v>14.0998</v>
      </c>
      <c r="S68" s="35">
        <v>38.275100000000002</v>
      </c>
      <c r="T68" t="s">
        <v>35</v>
      </c>
      <c r="U68" t="s">
        <v>36</v>
      </c>
      <c r="W68" t="s">
        <v>157</v>
      </c>
      <c r="X68">
        <v>1360</v>
      </c>
      <c r="Y68">
        <v>6936</v>
      </c>
    </row>
    <row r="69" spans="1:25" x14ac:dyDescent="0.35">
      <c r="A69" t="s">
        <v>490</v>
      </c>
      <c r="B69" t="s">
        <v>491</v>
      </c>
      <c r="C69" t="s">
        <v>492</v>
      </c>
      <c r="D69" t="s">
        <v>493</v>
      </c>
      <c r="E69" t="s">
        <v>494</v>
      </c>
      <c r="F69" t="s">
        <v>27</v>
      </c>
      <c r="G69" s="34">
        <v>44348</v>
      </c>
      <c r="I69" t="s">
        <v>28</v>
      </c>
      <c r="J69" t="s">
        <v>140</v>
      </c>
      <c r="K69" t="s">
        <v>141</v>
      </c>
      <c r="L69" t="s">
        <v>146</v>
      </c>
      <c r="M69" t="s">
        <v>147</v>
      </c>
      <c r="N69" t="s">
        <v>711</v>
      </c>
      <c r="O69" t="s">
        <v>190</v>
      </c>
      <c r="P69" t="s">
        <v>191</v>
      </c>
      <c r="Q69" t="s">
        <v>177</v>
      </c>
      <c r="R69" s="35">
        <v>14.0936</v>
      </c>
      <c r="S69" s="35">
        <v>38.28</v>
      </c>
      <c r="T69" t="s">
        <v>35</v>
      </c>
      <c r="U69" t="s">
        <v>36</v>
      </c>
      <c r="W69" t="s">
        <v>54</v>
      </c>
      <c r="X69">
        <v>2440</v>
      </c>
      <c r="Y69">
        <v>8825</v>
      </c>
    </row>
    <row r="70" spans="1:25" x14ac:dyDescent="0.35">
      <c r="A70" t="s">
        <v>496</v>
      </c>
      <c r="B70" t="s">
        <v>497</v>
      </c>
      <c r="C70" t="s">
        <v>498</v>
      </c>
      <c r="D70" t="s">
        <v>499</v>
      </c>
      <c r="F70" t="s">
        <v>27</v>
      </c>
      <c r="G70" s="34">
        <v>44287</v>
      </c>
      <c r="I70" t="s">
        <v>28</v>
      </c>
      <c r="J70" t="s">
        <v>140</v>
      </c>
      <c r="K70" t="s">
        <v>141</v>
      </c>
      <c r="L70" t="s">
        <v>146</v>
      </c>
      <c r="M70" t="s">
        <v>147</v>
      </c>
      <c r="N70" t="s">
        <v>711</v>
      </c>
      <c r="O70" t="s">
        <v>190</v>
      </c>
      <c r="P70" t="s">
        <v>163</v>
      </c>
      <c r="Q70" t="s">
        <v>177</v>
      </c>
      <c r="R70" s="35">
        <v>14.1059</v>
      </c>
      <c r="S70" s="35">
        <v>38.289299999999997</v>
      </c>
      <c r="T70" t="s">
        <v>35</v>
      </c>
      <c r="U70" t="s">
        <v>36</v>
      </c>
      <c r="W70" t="s">
        <v>54</v>
      </c>
      <c r="X70">
        <v>1893</v>
      </c>
      <c r="Y70">
        <v>8723</v>
      </c>
    </row>
    <row r="71" spans="1:25" x14ac:dyDescent="0.35">
      <c r="A71" t="s">
        <v>500</v>
      </c>
      <c r="B71" t="s">
        <v>501</v>
      </c>
      <c r="C71" t="s">
        <v>502</v>
      </c>
      <c r="D71" t="s">
        <v>503</v>
      </c>
      <c r="E71" t="s">
        <v>504</v>
      </c>
      <c r="F71" t="s">
        <v>27</v>
      </c>
      <c r="G71" s="34">
        <v>44673</v>
      </c>
      <c r="I71" t="s">
        <v>369</v>
      </c>
      <c r="J71" t="s">
        <v>140</v>
      </c>
      <c r="K71" t="s">
        <v>141</v>
      </c>
      <c r="L71" t="s">
        <v>262</v>
      </c>
      <c r="M71" t="s">
        <v>263</v>
      </c>
      <c r="N71" t="s">
        <v>264</v>
      </c>
      <c r="O71" t="s">
        <v>265</v>
      </c>
      <c r="P71" t="s">
        <v>101</v>
      </c>
      <c r="Q71" t="s">
        <v>266</v>
      </c>
      <c r="R71" s="35">
        <v>14.2897</v>
      </c>
      <c r="S71" s="35">
        <v>39.473100000000002</v>
      </c>
      <c r="T71" t="s">
        <v>35</v>
      </c>
      <c r="U71" t="s">
        <v>36</v>
      </c>
      <c r="W71" t="s">
        <v>54</v>
      </c>
      <c r="X71">
        <v>487</v>
      </c>
      <c r="Y71">
        <v>2846</v>
      </c>
    </row>
    <row r="72" spans="1:25" x14ac:dyDescent="0.35">
      <c r="A72" t="s">
        <v>505</v>
      </c>
      <c r="B72" t="s">
        <v>506</v>
      </c>
      <c r="C72" t="s">
        <v>507</v>
      </c>
      <c r="D72" t="s">
        <v>508</v>
      </c>
      <c r="E72" t="s">
        <v>509</v>
      </c>
      <c r="F72" t="s">
        <v>203</v>
      </c>
      <c r="G72" s="34">
        <v>44162</v>
      </c>
      <c r="I72" t="s">
        <v>28</v>
      </c>
      <c r="J72" t="s">
        <v>140</v>
      </c>
      <c r="K72" t="s">
        <v>141</v>
      </c>
      <c r="L72" t="s">
        <v>142</v>
      </c>
      <c r="M72" t="s">
        <v>143</v>
      </c>
      <c r="N72" t="s">
        <v>510</v>
      </c>
      <c r="O72" t="s">
        <v>511</v>
      </c>
      <c r="Q72" t="s">
        <v>218</v>
      </c>
      <c r="R72" s="35">
        <v>14.1694</v>
      </c>
      <c r="S72" s="35">
        <v>38.895600000000002</v>
      </c>
      <c r="T72" t="s">
        <v>35</v>
      </c>
      <c r="U72" t="s">
        <v>36</v>
      </c>
      <c r="W72" t="s">
        <v>54</v>
      </c>
      <c r="X72">
        <v>23</v>
      </c>
      <c r="Y72">
        <v>90</v>
      </c>
    </row>
    <row r="73" spans="1:25" x14ac:dyDescent="0.35">
      <c r="A73" t="s">
        <v>512</v>
      </c>
      <c r="B73" t="s">
        <v>513</v>
      </c>
      <c r="C73" t="s">
        <v>514</v>
      </c>
      <c r="D73" t="s">
        <v>515</v>
      </c>
      <c r="F73" t="s">
        <v>27</v>
      </c>
      <c r="G73" s="34">
        <v>44276</v>
      </c>
      <c r="I73" t="s">
        <v>28</v>
      </c>
      <c r="J73" t="s">
        <v>140</v>
      </c>
      <c r="K73" t="s">
        <v>141</v>
      </c>
      <c r="L73" t="s">
        <v>146</v>
      </c>
      <c r="M73" t="s">
        <v>147</v>
      </c>
      <c r="N73" t="s">
        <v>711</v>
      </c>
      <c r="O73" t="s">
        <v>190</v>
      </c>
      <c r="P73" t="s">
        <v>191</v>
      </c>
      <c r="Q73" t="s">
        <v>177</v>
      </c>
      <c r="R73" s="35">
        <v>14.103</v>
      </c>
      <c r="S73" s="35">
        <v>38.286799999999999</v>
      </c>
      <c r="T73" t="s">
        <v>35</v>
      </c>
      <c r="U73" t="s">
        <v>36</v>
      </c>
      <c r="W73" t="s">
        <v>157</v>
      </c>
      <c r="X73">
        <v>920</v>
      </c>
      <c r="Y73">
        <v>4938</v>
      </c>
    </row>
  </sheetData>
  <conditionalFormatting sqref="N3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EAB-1433-4393-B365-29FF4E640D67}">
  <dimension ref="A1:X12"/>
  <sheetViews>
    <sheetView workbookViewId="0">
      <selection activeCell="V4" sqref="V4"/>
    </sheetView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24.83203125" customWidth="1"/>
    <col min="5" max="5" width="21.58203125" customWidth="1"/>
    <col min="6" max="6" width="12.08203125" bestFit="1" customWidth="1"/>
    <col min="7" max="7" width="16" bestFit="1" customWidth="1"/>
    <col min="8" max="8" width="17.33203125" bestFit="1" customWidth="1"/>
    <col min="9" max="9" width="24.83203125" customWidth="1"/>
    <col min="10" max="10" width="8.83203125" bestFit="1" customWidth="1"/>
    <col min="11" max="11" width="20.83203125" bestFit="1" customWidth="1"/>
    <col min="12" max="12" width="19.08203125" bestFit="1" customWidth="1"/>
    <col min="13" max="13" width="21.08203125" bestFit="1" customWidth="1"/>
    <col min="14" max="14" width="23.08203125" bestFit="1" customWidth="1"/>
    <col min="15" max="15" width="21.08203125" bestFit="1" customWidth="1"/>
    <col min="16" max="16" width="18.08203125" bestFit="1" customWidth="1"/>
    <col min="17" max="17" width="11.08203125" customWidth="1"/>
    <col min="18" max="19" width="11.83203125" bestFit="1" customWidth="1"/>
    <col min="20" max="20" width="26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10.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553</v>
      </c>
    </row>
    <row r="2" spans="1:24" x14ac:dyDescent="0.35">
      <c r="A2" t="s">
        <v>689</v>
      </c>
      <c r="B2" t="s">
        <v>690</v>
      </c>
      <c r="D2" t="s">
        <v>596</v>
      </c>
      <c r="F2" t="s">
        <v>27</v>
      </c>
      <c r="G2" s="34">
        <v>45538</v>
      </c>
      <c r="I2" t="s">
        <v>579</v>
      </c>
      <c r="J2" t="s">
        <v>140</v>
      </c>
      <c r="K2" t="s">
        <v>141</v>
      </c>
      <c r="L2" t="s">
        <v>145</v>
      </c>
      <c r="M2" t="s">
        <v>183</v>
      </c>
      <c r="N2" t="s">
        <v>555</v>
      </c>
      <c r="O2" t="s">
        <v>535</v>
      </c>
      <c r="Q2" t="s">
        <v>595</v>
      </c>
      <c r="R2" s="35">
        <v>13.48</v>
      </c>
      <c r="S2" s="35">
        <v>39.457500000000003</v>
      </c>
      <c r="T2" t="s">
        <v>35</v>
      </c>
      <c r="U2" t="s">
        <v>36</v>
      </c>
      <c r="V2" t="s">
        <v>550</v>
      </c>
      <c r="W2" t="s">
        <v>54</v>
      </c>
    </row>
    <row r="3" spans="1:24" x14ac:dyDescent="0.35">
      <c r="A3" t="s">
        <v>691</v>
      </c>
      <c r="B3" t="s">
        <v>692</v>
      </c>
      <c r="D3" t="s">
        <v>598</v>
      </c>
      <c r="F3" t="s">
        <v>27</v>
      </c>
      <c r="G3" s="34">
        <v>45211</v>
      </c>
      <c r="I3" t="s">
        <v>579</v>
      </c>
      <c r="J3" t="s">
        <v>140</v>
      </c>
      <c r="K3" t="s">
        <v>141</v>
      </c>
      <c r="L3" t="s">
        <v>142</v>
      </c>
      <c r="M3" t="s">
        <v>143</v>
      </c>
      <c r="N3" t="s">
        <v>510</v>
      </c>
      <c r="O3" t="s">
        <v>511</v>
      </c>
      <c r="P3" t="s">
        <v>599</v>
      </c>
      <c r="Q3" t="s">
        <v>177</v>
      </c>
      <c r="R3" s="35">
        <v>14.161250000000001</v>
      </c>
      <c r="S3" s="35">
        <v>38.90166</v>
      </c>
      <c r="T3" t="s">
        <v>35</v>
      </c>
      <c r="U3" t="s">
        <v>36</v>
      </c>
      <c r="V3" t="s">
        <v>550</v>
      </c>
      <c r="W3" t="s">
        <v>54</v>
      </c>
    </row>
    <row r="4" spans="1:24" x14ac:dyDescent="0.35">
      <c r="A4" t="s">
        <v>693</v>
      </c>
      <c r="B4" t="s">
        <v>694</v>
      </c>
      <c r="D4" t="s">
        <v>601</v>
      </c>
      <c r="F4" t="s">
        <v>27</v>
      </c>
      <c r="G4" s="34">
        <v>45536</v>
      </c>
      <c r="I4" t="s">
        <v>579</v>
      </c>
      <c r="J4" t="s">
        <v>140</v>
      </c>
      <c r="K4" t="s">
        <v>141</v>
      </c>
      <c r="L4" t="s">
        <v>146</v>
      </c>
      <c r="M4" t="s">
        <v>147</v>
      </c>
      <c r="N4" t="s">
        <v>602</v>
      </c>
      <c r="O4" t="s">
        <v>293</v>
      </c>
      <c r="Q4" t="s">
        <v>177</v>
      </c>
      <c r="R4" s="35">
        <v>13.9411</v>
      </c>
      <c r="S4" s="35">
        <v>38.181890000000003</v>
      </c>
      <c r="T4" t="s">
        <v>35</v>
      </c>
      <c r="U4" t="s">
        <v>36</v>
      </c>
      <c r="V4" t="s">
        <v>550</v>
      </c>
      <c r="W4" t="s">
        <v>54</v>
      </c>
    </row>
    <row r="5" spans="1:24" x14ac:dyDescent="0.35">
      <c r="A5" t="s">
        <v>695</v>
      </c>
      <c r="B5" t="s">
        <v>696</v>
      </c>
      <c r="D5" t="s">
        <v>609</v>
      </c>
      <c r="F5" t="s">
        <v>27</v>
      </c>
      <c r="G5" s="34">
        <v>45078</v>
      </c>
      <c r="I5" t="s">
        <v>579</v>
      </c>
      <c r="J5" t="s">
        <v>140</v>
      </c>
      <c r="K5" t="s">
        <v>141</v>
      </c>
      <c r="L5" t="s">
        <v>146</v>
      </c>
      <c r="M5" t="s">
        <v>147</v>
      </c>
      <c r="N5" t="s">
        <v>554</v>
      </c>
      <c r="O5" t="s">
        <v>190</v>
      </c>
      <c r="P5" t="s">
        <v>610</v>
      </c>
      <c r="Q5" t="s">
        <v>177</v>
      </c>
      <c r="R5" s="35">
        <v>14.105124999999999</v>
      </c>
      <c r="S5" s="35">
        <v>38.285482999999999</v>
      </c>
      <c r="T5" t="s">
        <v>35</v>
      </c>
      <c r="U5" t="s">
        <v>36</v>
      </c>
      <c r="V5" t="s">
        <v>550</v>
      </c>
      <c r="W5" t="s">
        <v>54</v>
      </c>
    </row>
    <row r="6" spans="1:24" x14ac:dyDescent="0.35">
      <c r="A6" t="s">
        <v>697</v>
      </c>
      <c r="B6" t="s">
        <v>698</v>
      </c>
      <c r="D6" t="s">
        <v>611</v>
      </c>
      <c r="E6" t="s">
        <v>612</v>
      </c>
      <c r="F6" t="s">
        <v>27</v>
      </c>
      <c r="G6" s="34">
        <v>44927</v>
      </c>
      <c r="I6" t="s">
        <v>579</v>
      </c>
      <c r="J6" t="s">
        <v>140</v>
      </c>
      <c r="K6" t="s">
        <v>141</v>
      </c>
      <c r="L6" t="s">
        <v>142</v>
      </c>
      <c r="M6" t="s">
        <v>143</v>
      </c>
      <c r="N6" t="s">
        <v>614</v>
      </c>
      <c r="O6" t="s">
        <v>144</v>
      </c>
      <c r="Q6" t="s">
        <v>156</v>
      </c>
      <c r="T6" t="s">
        <v>35</v>
      </c>
      <c r="U6" t="s">
        <v>36</v>
      </c>
      <c r="V6" t="s">
        <v>550</v>
      </c>
      <c r="W6" t="s">
        <v>157</v>
      </c>
    </row>
    <row r="7" spans="1:24" x14ac:dyDescent="0.35">
      <c r="A7" t="s">
        <v>699</v>
      </c>
      <c r="B7" t="s">
        <v>700</v>
      </c>
      <c r="D7" t="s">
        <v>622</v>
      </c>
      <c r="E7" t="s">
        <v>623</v>
      </c>
      <c r="F7" t="s">
        <v>27</v>
      </c>
      <c r="G7" s="34">
        <v>45352</v>
      </c>
      <c r="I7" t="s">
        <v>579</v>
      </c>
      <c r="J7" t="s">
        <v>140</v>
      </c>
      <c r="K7" t="s">
        <v>531</v>
      </c>
      <c r="L7" t="s">
        <v>142</v>
      </c>
      <c r="M7" t="s">
        <v>143</v>
      </c>
      <c r="N7" t="s">
        <v>510</v>
      </c>
      <c r="O7" t="s">
        <v>511</v>
      </c>
      <c r="Q7" t="s">
        <v>218</v>
      </c>
      <c r="T7" t="s">
        <v>35</v>
      </c>
      <c r="U7" t="s">
        <v>36</v>
      </c>
      <c r="V7" t="s">
        <v>550</v>
      </c>
      <c r="W7" t="s">
        <v>624</v>
      </c>
    </row>
    <row r="8" spans="1:24" x14ac:dyDescent="0.35">
      <c r="A8" t="s">
        <v>701</v>
      </c>
      <c r="B8" t="s">
        <v>702</v>
      </c>
      <c r="D8" t="s">
        <v>627</v>
      </c>
      <c r="E8" t="s">
        <v>628</v>
      </c>
      <c r="F8" t="s">
        <v>27</v>
      </c>
      <c r="G8" s="34">
        <v>44927</v>
      </c>
      <c r="I8" t="s">
        <v>579</v>
      </c>
      <c r="J8" t="s">
        <v>140</v>
      </c>
      <c r="K8" t="s">
        <v>141</v>
      </c>
      <c r="L8" t="s">
        <v>142</v>
      </c>
      <c r="M8" t="s">
        <v>143</v>
      </c>
      <c r="N8" t="s">
        <v>619</v>
      </c>
      <c r="O8" t="s">
        <v>162</v>
      </c>
      <c r="Q8" t="s">
        <v>306</v>
      </c>
      <c r="T8" t="s">
        <v>35</v>
      </c>
      <c r="U8" t="s">
        <v>36</v>
      </c>
      <c r="V8" t="s">
        <v>550</v>
      </c>
      <c r="W8" t="s">
        <v>157</v>
      </c>
    </row>
    <row r="9" spans="1:24" x14ac:dyDescent="0.35">
      <c r="A9" t="s">
        <v>703</v>
      </c>
      <c r="B9" t="s">
        <v>704</v>
      </c>
      <c r="D9" t="s">
        <v>634</v>
      </c>
      <c r="E9" t="s">
        <v>635</v>
      </c>
      <c r="F9" t="s">
        <v>27</v>
      </c>
      <c r="G9" s="34">
        <v>45139</v>
      </c>
      <c r="I9" t="s">
        <v>579</v>
      </c>
      <c r="J9" t="s">
        <v>140</v>
      </c>
      <c r="K9" t="s">
        <v>141</v>
      </c>
      <c r="L9" t="s">
        <v>226</v>
      </c>
      <c r="M9" t="s">
        <v>227</v>
      </c>
      <c r="N9" t="s">
        <v>712</v>
      </c>
      <c r="O9" t="s">
        <v>228</v>
      </c>
      <c r="P9" t="s">
        <v>637</v>
      </c>
      <c r="Q9" t="s">
        <v>145</v>
      </c>
      <c r="T9" t="s">
        <v>35</v>
      </c>
      <c r="U9" t="s">
        <v>36</v>
      </c>
      <c r="V9" t="s">
        <v>550</v>
      </c>
      <c r="W9" t="s">
        <v>157</v>
      </c>
    </row>
    <row r="10" spans="1:24" x14ac:dyDescent="0.35">
      <c r="A10" t="s">
        <v>705</v>
      </c>
      <c r="B10" t="s">
        <v>706</v>
      </c>
      <c r="D10" t="s">
        <v>643</v>
      </c>
      <c r="E10" t="s">
        <v>642</v>
      </c>
      <c r="F10" t="s">
        <v>27</v>
      </c>
      <c r="G10" s="34">
        <v>44652</v>
      </c>
      <c r="I10" t="s">
        <v>579</v>
      </c>
      <c r="J10" t="s">
        <v>140</v>
      </c>
      <c r="K10" t="s">
        <v>141</v>
      </c>
      <c r="L10" t="s">
        <v>145</v>
      </c>
      <c r="M10" t="s">
        <v>183</v>
      </c>
      <c r="N10" t="s">
        <v>543</v>
      </c>
      <c r="O10" t="s">
        <v>185</v>
      </c>
      <c r="P10" t="s">
        <v>380</v>
      </c>
      <c r="Q10" t="s">
        <v>145</v>
      </c>
      <c r="T10" t="s">
        <v>35</v>
      </c>
      <c r="U10" t="s">
        <v>36</v>
      </c>
      <c r="V10" t="s">
        <v>550</v>
      </c>
      <c r="W10" t="s">
        <v>157</v>
      </c>
    </row>
    <row r="11" spans="1:24" x14ac:dyDescent="0.35">
      <c r="A11" t="s">
        <v>707</v>
      </c>
      <c r="B11" t="s">
        <v>708</v>
      </c>
      <c r="D11" t="s">
        <v>646</v>
      </c>
      <c r="F11" t="s">
        <v>27</v>
      </c>
      <c r="G11" s="34">
        <v>45352</v>
      </c>
      <c r="I11" t="s">
        <v>579</v>
      </c>
      <c r="J11" t="s">
        <v>140</v>
      </c>
      <c r="K11" t="s">
        <v>141</v>
      </c>
      <c r="L11" t="s">
        <v>146</v>
      </c>
      <c r="M11" t="s">
        <v>147</v>
      </c>
      <c r="N11" t="s">
        <v>148</v>
      </c>
      <c r="O11" t="s">
        <v>149</v>
      </c>
      <c r="Q11" t="s">
        <v>343</v>
      </c>
      <c r="T11" t="s">
        <v>35</v>
      </c>
      <c r="U11" t="s">
        <v>36</v>
      </c>
      <c r="V11" t="s">
        <v>550</v>
      </c>
      <c r="W11" t="s">
        <v>647</v>
      </c>
    </row>
    <row r="12" spans="1:24" x14ac:dyDescent="0.35">
      <c r="A12" t="s">
        <v>695</v>
      </c>
      <c r="B12" t="s">
        <v>696</v>
      </c>
      <c r="D12" t="s">
        <v>650</v>
      </c>
      <c r="E12" t="s">
        <v>651</v>
      </c>
      <c r="F12" t="s">
        <v>27</v>
      </c>
      <c r="G12" s="34">
        <v>45200</v>
      </c>
      <c r="I12" t="s">
        <v>579</v>
      </c>
      <c r="J12" t="s">
        <v>140</v>
      </c>
      <c r="K12" t="s">
        <v>141</v>
      </c>
      <c r="L12" t="s">
        <v>146</v>
      </c>
      <c r="M12" t="s">
        <v>147</v>
      </c>
      <c r="N12" t="s">
        <v>554</v>
      </c>
      <c r="O12" t="s">
        <v>190</v>
      </c>
      <c r="P12" t="s">
        <v>191</v>
      </c>
      <c r="Q12" t="s">
        <v>177</v>
      </c>
      <c r="T12" t="s">
        <v>35</v>
      </c>
      <c r="U12" t="s">
        <v>36</v>
      </c>
      <c r="V12" t="s">
        <v>550</v>
      </c>
      <c r="W12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C512-4776-446C-9E69-06ABE1537870}">
  <dimension ref="A1:AB21"/>
  <sheetViews>
    <sheetView workbookViewId="0">
      <selection activeCell="E27" sqref="E27"/>
    </sheetView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40.58203125" bestFit="1" customWidth="1"/>
    <col min="5" max="5" width="33.7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7.25" bestFit="1" customWidth="1"/>
    <col min="10" max="10" width="8.83203125" bestFit="1" customWidth="1"/>
    <col min="11" max="11" width="20.83203125" bestFit="1" customWidth="1"/>
    <col min="12" max="12" width="13" bestFit="1" customWidth="1"/>
    <col min="13" max="13" width="21.08203125" bestFit="1" customWidth="1"/>
    <col min="14" max="14" width="23.08203125" bestFit="1" customWidth="1"/>
    <col min="15" max="15" width="21.08203125" bestFit="1" customWidth="1"/>
    <col min="16" max="16" width="8.75" bestFit="1" customWidth="1"/>
    <col min="17" max="17" width="7.33203125" bestFit="1" customWidth="1"/>
    <col min="18" max="19" width="11.83203125" bestFit="1" customWidth="1"/>
    <col min="20" max="20" width="22.5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23.58203125" bestFit="1" customWidth="1"/>
    <col min="26" max="26" width="9.83203125" bestFit="1" customWidth="1"/>
    <col min="27" max="27" width="11.83203125" bestFit="1" customWidth="1"/>
    <col min="28" max="28" width="12.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548</v>
      </c>
      <c r="Y1" t="s">
        <v>22</v>
      </c>
      <c r="Z1" t="s">
        <v>23</v>
      </c>
      <c r="AA1" t="s">
        <v>571</v>
      </c>
      <c r="AB1" t="s">
        <v>572</v>
      </c>
    </row>
    <row r="2" spans="1:28" x14ac:dyDescent="0.35">
      <c r="A2" t="s">
        <v>164</v>
      </c>
      <c r="B2" t="s">
        <v>165</v>
      </c>
      <c r="C2" t="s">
        <v>166</v>
      </c>
      <c r="D2" t="s">
        <v>561</v>
      </c>
      <c r="E2" t="s">
        <v>562</v>
      </c>
      <c r="F2" t="s">
        <v>27</v>
      </c>
      <c r="G2">
        <v>44901</v>
      </c>
      <c r="I2" t="s">
        <v>53</v>
      </c>
      <c r="J2" t="s">
        <v>140</v>
      </c>
      <c r="K2" t="s">
        <v>141</v>
      </c>
      <c r="L2" t="s">
        <v>146</v>
      </c>
      <c r="M2" t="s">
        <v>147</v>
      </c>
      <c r="N2" t="s">
        <v>167</v>
      </c>
      <c r="O2" t="s">
        <v>168</v>
      </c>
      <c r="P2" t="s">
        <v>156</v>
      </c>
      <c r="Q2" t="s">
        <v>177</v>
      </c>
      <c r="R2">
        <v>14.375140999999999</v>
      </c>
      <c r="S2">
        <v>37.770677999999997</v>
      </c>
      <c r="T2" t="s">
        <v>35</v>
      </c>
      <c r="U2" t="s">
        <v>36</v>
      </c>
      <c r="W2" t="s">
        <v>150</v>
      </c>
      <c r="Y2" t="s">
        <v>169</v>
      </c>
      <c r="Z2">
        <v>933793817</v>
      </c>
    </row>
    <row r="3" spans="1:28" x14ac:dyDescent="0.35">
      <c r="A3" t="s">
        <v>186</v>
      </c>
      <c r="B3" t="s">
        <v>187</v>
      </c>
      <c r="C3" t="s">
        <v>188</v>
      </c>
      <c r="D3" t="s">
        <v>563</v>
      </c>
      <c r="E3" t="s">
        <v>189</v>
      </c>
      <c r="F3" t="s">
        <v>27</v>
      </c>
      <c r="G3">
        <v>44269</v>
      </c>
      <c r="I3" t="s">
        <v>28</v>
      </c>
      <c r="J3" t="s">
        <v>140</v>
      </c>
      <c r="K3" t="s">
        <v>141</v>
      </c>
      <c r="L3" t="s">
        <v>146</v>
      </c>
      <c r="M3" t="s">
        <v>147</v>
      </c>
      <c r="N3" t="s">
        <v>564</v>
      </c>
      <c r="O3" t="s">
        <v>190</v>
      </c>
      <c r="P3" t="s">
        <v>191</v>
      </c>
      <c r="Q3" t="s">
        <v>177</v>
      </c>
      <c r="R3">
        <v>14.0922009</v>
      </c>
      <c r="S3">
        <v>38.274002000000003</v>
      </c>
      <c r="T3" t="s">
        <v>35</v>
      </c>
      <c r="U3" t="s">
        <v>36</v>
      </c>
      <c r="W3" t="s">
        <v>150</v>
      </c>
      <c r="Y3" t="s">
        <v>267</v>
      </c>
      <c r="Z3">
        <v>933021622</v>
      </c>
    </row>
    <row r="4" spans="1:28" x14ac:dyDescent="0.35">
      <c r="A4" t="s">
        <v>204</v>
      </c>
      <c r="B4" t="s">
        <v>205</v>
      </c>
      <c r="C4" t="s">
        <v>206</v>
      </c>
      <c r="D4" t="s">
        <v>207</v>
      </c>
      <c r="F4" t="s">
        <v>27</v>
      </c>
      <c r="G4">
        <v>44263</v>
      </c>
      <c r="I4" t="s">
        <v>28</v>
      </c>
      <c r="J4" t="s">
        <v>140</v>
      </c>
      <c r="K4" t="s">
        <v>141</v>
      </c>
      <c r="L4" t="s">
        <v>146</v>
      </c>
      <c r="M4" t="s">
        <v>147</v>
      </c>
      <c r="N4" t="s">
        <v>564</v>
      </c>
      <c r="O4" t="s">
        <v>190</v>
      </c>
      <c r="P4" t="s">
        <v>125</v>
      </c>
      <c r="Q4" t="s">
        <v>177</v>
      </c>
      <c r="R4">
        <v>14.1037965</v>
      </c>
      <c r="S4">
        <v>38.294302100000003</v>
      </c>
      <c r="T4" t="s">
        <v>35</v>
      </c>
      <c r="U4" t="s">
        <v>36</v>
      </c>
      <c r="W4" t="s">
        <v>150</v>
      </c>
      <c r="Y4" t="s">
        <v>267</v>
      </c>
      <c r="Z4">
        <v>933021622</v>
      </c>
    </row>
    <row r="5" spans="1:28" x14ac:dyDescent="0.35">
      <c r="A5" t="s">
        <v>229</v>
      </c>
      <c r="B5" t="s">
        <v>230</v>
      </c>
      <c r="C5" t="s">
        <v>231</v>
      </c>
      <c r="D5" t="s">
        <v>232</v>
      </c>
      <c r="F5" t="s">
        <v>27</v>
      </c>
      <c r="G5">
        <v>44315</v>
      </c>
      <c r="I5" t="s">
        <v>28</v>
      </c>
      <c r="J5" t="s">
        <v>140</v>
      </c>
      <c r="K5" t="s">
        <v>141</v>
      </c>
      <c r="L5" t="s">
        <v>145</v>
      </c>
      <c r="M5" t="s">
        <v>183</v>
      </c>
      <c r="N5" t="s">
        <v>357</v>
      </c>
      <c r="O5" t="s">
        <v>539</v>
      </c>
      <c r="P5" t="s">
        <v>233</v>
      </c>
      <c r="Q5" t="s">
        <v>145</v>
      </c>
      <c r="R5">
        <v>13.500293900000001</v>
      </c>
      <c r="S5">
        <v>39.480489200000001</v>
      </c>
      <c r="T5" t="s">
        <v>35</v>
      </c>
      <c r="U5" t="s">
        <v>36</v>
      </c>
      <c r="W5" t="s">
        <v>150</v>
      </c>
      <c r="Y5" t="s">
        <v>565</v>
      </c>
      <c r="Z5">
        <v>945065434</v>
      </c>
    </row>
    <row r="6" spans="1:28" x14ac:dyDescent="0.35">
      <c r="A6" t="s">
        <v>252</v>
      </c>
      <c r="B6" t="s">
        <v>253</v>
      </c>
      <c r="C6" t="s">
        <v>254</v>
      </c>
      <c r="D6" t="s">
        <v>255</v>
      </c>
      <c r="F6" t="s">
        <v>27</v>
      </c>
      <c r="G6">
        <v>44164</v>
      </c>
      <c r="I6" t="s">
        <v>28</v>
      </c>
      <c r="J6" t="s">
        <v>140</v>
      </c>
      <c r="K6" t="s">
        <v>141</v>
      </c>
      <c r="L6" t="s">
        <v>146</v>
      </c>
      <c r="M6" t="s">
        <v>147</v>
      </c>
      <c r="N6" t="s">
        <v>564</v>
      </c>
      <c r="O6" t="s">
        <v>190</v>
      </c>
      <c r="P6" t="s">
        <v>108</v>
      </c>
      <c r="Q6" t="s">
        <v>177</v>
      </c>
      <c r="R6">
        <v>14.1019977999999</v>
      </c>
      <c r="S6">
        <v>38.2679227</v>
      </c>
      <c r="T6" t="s">
        <v>35</v>
      </c>
      <c r="U6" t="s">
        <v>36</v>
      </c>
      <c r="W6" t="s">
        <v>150</v>
      </c>
      <c r="Y6" t="s">
        <v>267</v>
      </c>
      <c r="Z6">
        <v>933021622</v>
      </c>
    </row>
    <row r="7" spans="1:28" x14ac:dyDescent="0.35">
      <c r="A7" t="s">
        <v>268</v>
      </c>
      <c r="B7" t="s">
        <v>269</v>
      </c>
      <c r="C7" t="s">
        <v>270</v>
      </c>
      <c r="D7" t="s">
        <v>271</v>
      </c>
      <c r="F7" t="s">
        <v>27</v>
      </c>
      <c r="G7">
        <v>44257</v>
      </c>
      <c r="I7" t="s">
        <v>28</v>
      </c>
      <c r="J7" t="s">
        <v>140</v>
      </c>
      <c r="K7" t="s">
        <v>141</v>
      </c>
      <c r="L7" t="s">
        <v>146</v>
      </c>
      <c r="M7" t="s">
        <v>147</v>
      </c>
      <c r="N7" t="s">
        <v>564</v>
      </c>
      <c r="O7" t="s">
        <v>190</v>
      </c>
      <c r="P7" t="s">
        <v>191</v>
      </c>
      <c r="Q7" t="s">
        <v>177</v>
      </c>
      <c r="R7">
        <v>14.0958112</v>
      </c>
      <c r="S7">
        <v>38.281380200000001</v>
      </c>
      <c r="T7" t="s">
        <v>35</v>
      </c>
      <c r="U7" t="s">
        <v>36</v>
      </c>
      <c r="W7" t="s">
        <v>150</v>
      </c>
      <c r="Y7" t="s">
        <v>267</v>
      </c>
      <c r="Z7">
        <v>933021622</v>
      </c>
    </row>
    <row r="8" spans="1:28" x14ac:dyDescent="0.35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</v>
      </c>
      <c r="G8">
        <v>44250</v>
      </c>
      <c r="I8" t="s">
        <v>28</v>
      </c>
      <c r="J8" t="s">
        <v>140</v>
      </c>
      <c r="K8" t="s">
        <v>141</v>
      </c>
      <c r="L8" t="s">
        <v>262</v>
      </c>
      <c r="M8" t="s">
        <v>263</v>
      </c>
      <c r="N8" t="s">
        <v>566</v>
      </c>
      <c r="O8" t="s">
        <v>277</v>
      </c>
      <c r="P8" t="s">
        <v>108</v>
      </c>
      <c r="Q8" t="s">
        <v>145</v>
      </c>
      <c r="R8">
        <v>14.1875058</v>
      </c>
      <c r="S8">
        <v>39.565457700000003</v>
      </c>
      <c r="T8" t="s">
        <v>35</v>
      </c>
      <c r="U8" t="s">
        <v>36</v>
      </c>
      <c r="W8" t="s">
        <v>150</v>
      </c>
      <c r="Y8" t="s">
        <v>565</v>
      </c>
      <c r="Z8">
        <v>945065434</v>
      </c>
    </row>
    <row r="9" spans="1:28" x14ac:dyDescent="0.35">
      <c r="A9" t="s">
        <v>294</v>
      </c>
      <c r="B9" t="s">
        <v>295</v>
      </c>
      <c r="C9" t="s">
        <v>296</v>
      </c>
      <c r="D9" t="s">
        <v>297</v>
      </c>
      <c r="E9" t="s">
        <v>298</v>
      </c>
      <c r="F9" t="s">
        <v>27</v>
      </c>
      <c r="G9">
        <v>44251</v>
      </c>
      <c r="I9" t="s">
        <v>28</v>
      </c>
      <c r="J9" t="s">
        <v>140</v>
      </c>
      <c r="K9" t="s">
        <v>141</v>
      </c>
      <c r="L9" t="s">
        <v>146</v>
      </c>
      <c r="M9" t="s">
        <v>147</v>
      </c>
      <c r="N9" t="s">
        <v>567</v>
      </c>
      <c r="O9" t="s">
        <v>149</v>
      </c>
      <c r="P9" t="s">
        <v>299</v>
      </c>
      <c r="Q9" t="s">
        <v>177</v>
      </c>
      <c r="R9">
        <v>14.3975785999999</v>
      </c>
      <c r="S9">
        <v>37.765988700000001</v>
      </c>
      <c r="T9" t="s">
        <v>35</v>
      </c>
      <c r="U9" t="s">
        <v>36</v>
      </c>
      <c r="W9" t="s">
        <v>150</v>
      </c>
      <c r="Y9" t="s">
        <v>169</v>
      </c>
      <c r="Z9">
        <v>933793817</v>
      </c>
    </row>
    <row r="10" spans="1:28" x14ac:dyDescent="0.35">
      <c r="A10" t="s">
        <v>320</v>
      </c>
      <c r="B10" t="s">
        <v>321</v>
      </c>
      <c r="C10" t="s">
        <v>322</v>
      </c>
      <c r="D10" t="s">
        <v>323</v>
      </c>
      <c r="E10" t="s">
        <v>568</v>
      </c>
      <c r="F10" t="s">
        <v>27</v>
      </c>
      <c r="G10">
        <v>44268</v>
      </c>
      <c r="I10" t="s">
        <v>28</v>
      </c>
      <c r="J10" t="s">
        <v>140</v>
      </c>
      <c r="K10" t="s">
        <v>141</v>
      </c>
      <c r="L10" t="s">
        <v>145</v>
      </c>
      <c r="M10" t="s">
        <v>183</v>
      </c>
      <c r="N10" t="s">
        <v>534</v>
      </c>
      <c r="O10" t="s">
        <v>542</v>
      </c>
      <c r="P10" t="s">
        <v>324</v>
      </c>
      <c r="Q10" t="s">
        <v>145</v>
      </c>
      <c r="R10">
        <v>13.4857645</v>
      </c>
      <c r="S10">
        <v>39.4506228999999</v>
      </c>
      <c r="T10" t="s">
        <v>35</v>
      </c>
      <c r="U10" t="s">
        <v>36</v>
      </c>
      <c r="W10" t="s">
        <v>150</v>
      </c>
      <c r="Y10" t="s">
        <v>565</v>
      </c>
      <c r="Z10">
        <v>945065434</v>
      </c>
    </row>
    <row r="11" spans="1:28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27</v>
      </c>
      <c r="G11">
        <v>44201</v>
      </c>
      <c r="I11" t="s">
        <v>28</v>
      </c>
      <c r="J11" t="s">
        <v>140</v>
      </c>
      <c r="K11" t="s">
        <v>141</v>
      </c>
      <c r="L11" t="s">
        <v>146</v>
      </c>
      <c r="M11" t="s">
        <v>147</v>
      </c>
      <c r="N11" t="s">
        <v>567</v>
      </c>
      <c r="O11" t="s">
        <v>149</v>
      </c>
      <c r="P11" t="s">
        <v>343</v>
      </c>
      <c r="Q11" t="s">
        <v>177</v>
      </c>
      <c r="R11">
        <v>14.3883224999999</v>
      </c>
      <c r="S11">
        <v>37.767922400000003</v>
      </c>
      <c r="T11" t="s">
        <v>35</v>
      </c>
      <c r="U11" t="s">
        <v>36</v>
      </c>
      <c r="W11" t="s">
        <v>150</v>
      </c>
      <c r="Y11" t="s">
        <v>169</v>
      </c>
      <c r="Z11">
        <v>933793817</v>
      </c>
    </row>
    <row r="12" spans="1:28" x14ac:dyDescent="0.35">
      <c r="A12" t="s">
        <v>386</v>
      </c>
      <c r="B12" t="s">
        <v>387</v>
      </c>
      <c r="C12" t="s">
        <v>388</v>
      </c>
      <c r="D12" t="s">
        <v>389</v>
      </c>
      <c r="F12" t="s">
        <v>27</v>
      </c>
      <c r="G12">
        <v>44171</v>
      </c>
      <c r="I12" t="s">
        <v>28</v>
      </c>
      <c r="J12" t="s">
        <v>140</v>
      </c>
      <c r="K12" t="s">
        <v>141</v>
      </c>
      <c r="L12" t="s">
        <v>262</v>
      </c>
      <c r="M12" t="s">
        <v>263</v>
      </c>
      <c r="N12" t="s">
        <v>264</v>
      </c>
      <c r="O12" t="s">
        <v>265</v>
      </c>
      <c r="P12" t="s">
        <v>125</v>
      </c>
      <c r="Q12" t="s">
        <v>145</v>
      </c>
      <c r="R12">
        <v>14.2783871999999</v>
      </c>
      <c r="S12">
        <v>39.460439000000001</v>
      </c>
      <c r="T12" t="s">
        <v>35</v>
      </c>
      <c r="U12" t="s">
        <v>36</v>
      </c>
      <c r="W12" t="s">
        <v>150</v>
      </c>
      <c r="Y12" t="s">
        <v>565</v>
      </c>
      <c r="Z12">
        <v>945065434</v>
      </c>
    </row>
    <row r="13" spans="1:28" x14ac:dyDescent="0.35">
      <c r="A13" t="s">
        <v>390</v>
      </c>
      <c r="B13" t="s">
        <v>391</v>
      </c>
      <c r="C13" t="s">
        <v>392</v>
      </c>
      <c r="D13" t="s">
        <v>393</v>
      </c>
      <c r="F13" t="s">
        <v>27</v>
      </c>
      <c r="G13">
        <v>44276</v>
      </c>
      <c r="I13" t="s">
        <v>28</v>
      </c>
      <c r="J13" t="s">
        <v>140</v>
      </c>
      <c r="K13" t="s">
        <v>141</v>
      </c>
      <c r="L13" t="s">
        <v>145</v>
      </c>
      <c r="M13" t="s">
        <v>183</v>
      </c>
      <c r="N13" t="s">
        <v>540</v>
      </c>
      <c r="O13" t="s">
        <v>541</v>
      </c>
      <c r="P13" t="s">
        <v>342</v>
      </c>
      <c r="Q13" t="s">
        <v>145</v>
      </c>
      <c r="R13">
        <v>13.487500900000001</v>
      </c>
      <c r="S13">
        <v>39.471944899999897</v>
      </c>
      <c r="T13" t="s">
        <v>35</v>
      </c>
      <c r="U13" t="s">
        <v>36</v>
      </c>
      <c r="W13" t="s">
        <v>150</v>
      </c>
      <c r="Y13" t="s">
        <v>565</v>
      </c>
      <c r="Z13">
        <v>945065434</v>
      </c>
    </row>
    <row r="14" spans="1:28" x14ac:dyDescent="0.35">
      <c r="A14" t="s">
        <v>403</v>
      </c>
      <c r="B14" t="s">
        <v>404</v>
      </c>
      <c r="C14" t="s">
        <v>405</v>
      </c>
      <c r="D14" t="s">
        <v>406</v>
      </c>
      <c r="E14" t="s">
        <v>407</v>
      </c>
      <c r="F14" t="s">
        <v>27</v>
      </c>
      <c r="G14">
        <v>44367</v>
      </c>
      <c r="I14" t="s">
        <v>28</v>
      </c>
      <c r="J14" t="s">
        <v>140</v>
      </c>
      <c r="K14" t="s">
        <v>141</v>
      </c>
      <c r="L14" t="s">
        <v>145</v>
      </c>
      <c r="M14" t="s">
        <v>183</v>
      </c>
      <c r="N14" t="s">
        <v>540</v>
      </c>
      <c r="O14" t="s">
        <v>541</v>
      </c>
      <c r="P14" t="s">
        <v>408</v>
      </c>
      <c r="Q14" t="s">
        <v>145</v>
      </c>
      <c r="R14">
        <v>13.494594599999999</v>
      </c>
      <c r="S14">
        <v>39.466900699999997</v>
      </c>
      <c r="T14" t="s">
        <v>35</v>
      </c>
      <c r="U14" t="s">
        <v>36</v>
      </c>
      <c r="W14" t="s">
        <v>150</v>
      </c>
      <c r="Y14" t="s">
        <v>565</v>
      </c>
      <c r="Z14">
        <v>945065434</v>
      </c>
    </row>
    <row r="15" spans="1:28" x14ac:dyDescent="0.35">
      <c r="A15" t="s">
        <v>452</v>
      </c>
      <c r="B15" t="s">
        <v>453</v>
      </c>
      <c r="C15" t="s">
        <v>454</v>
      </c>
      <c r="D15" t="s">
        <v>455</v>
      </c>
      <c r="F15" t="s">
        <v>27</v>
      </c>
      <c r="G15">
        <v>44209</v>
      </c>
      <c r="I15" t="s">
        <v>28</v>
      </c>
      <c r="J15" t="s">
        <v>140</v>
      </c>
      <c r="K15" t="s">
        <v>141</v>
      </c>
      <c r="L15" t="s">
        <v>146</v>
      </c>
      <c r="M15" t="s">
        <v>147</v>
      </c>
      <c r="N15" t="s">
        <v>567</v>
      </c>
      <c r="O15" t="s">
        <v>149</v>
      </c>
      <c r="P15" t="s">
        <v>251</v>
      </c>
      <c r="Q15" t="s">
        <v>177</v>
      </c>
      <c r="R15">
        <v>14.3869083999999</v>
      </c>
      <c r="S15">
        <v>37.7709489</v>
      </c>
      <c r="T15" t="s">
        <v>35</v>
      </c>
      <c r="U15" t="s">
        <v>36</v>
      </c>
      <c r="W15" t="s">
        <v>150</v>
      </c>
      <c r="Y15" t="s">
        <v>169</v>
      </c>
      <c r="Z15">
        <v>933793817</v>
      </c>
    </row>
    <row r="16" spans="1:28" x14ac:dyDescent="0.35">
      <c r="A16" t="s">
        <v>461</v>
      </c>
      <c r="B16" t="s">
        <v>462</v>
      </c>
      <c r="C16" t="s">
        <v>463</v>
      </c>
      <c r="D16" t="s">
        <v>464</v>
      </c>
      <c r="E16" t="s">
        <v>465</v>
      </c>
      <c r="F16" t="s">
        <v>27</v>
      </c>
      <c r="G16">
        <v>44145</v>
      </c>
      <c r="I16" t="s">
        <v>28</v>
      </c>
      <c r="J16" t="s">
        <v>140</v>
      </c>
      <c r="K16" t="s">
        <v>141</v>
      </c>
      <c r="L16" t="s">
        <v>146</v>
      </c>
      <c r="M16" t="s">
        <v>147</v>
      </c>
      <c r="N16" t="s">
        <v>567</v>
      </c>
      <c r="O16" t="s">
        <v>149</v>
      </c>
      <c r="P16" t="s">
        <v>256</v>
      </c>
      <c r="Q16" t="s">
        <v>177</v>
      </c>
      <c r="R16">
        <v>14.398446</v>
      </c>
      <c r="S16">
        <v>37.7814596999999</v>
      </c>
      <c r="T16" t="s">
        <v>35</v>
      </c>
      <c r="U16" t="s">
        <v>36</v>
      </c>
      <c r="W16" t="s">
        <v>150</v>
      </c>
      <c r="Y16" t="s">
        <v>169</v>
      </c>
      <c r="Z16">
        <v>933793817</v>
      </c>
    </row>
    <row r="17" spans="1:26" x14ac:dyDescent="0.35">
      <c r="A17" t="s">
        <v>466</v>
      </c>
      <c r="B17" t="s">
        <v>467</v>
      </c>
      <c r="C17" t="s">
        <v>468</v>
      </c>
      <c r="D17" t="s">
        <v>469</v>
      </c>
      <c r="E17" t="s">
        <v>470</v>
      </c>
      <c r="F17" t="s">
        <v>27</v>
      </c>
      <c r="G17">
        <v>44145</v>
      </c>
      <c r="I17" t="s">
        <v>28</v>
      </c>
      <c r="J17" t="s">
        <v>140</v>
      </c>
      <c r="K17" t="s">
        <v>141</v>
      </c>
      <c r="L17" t="s">
        <v>146</v>
      </c>
      <c r="M17" t="s">
        <v>147</v>
      </c>
      <c r="N17" t="s">
        <v>567</v>
      </c>
      <c r="O17" t="s">
        <v>149</v>
      </c>
      <c r="P17" t="s">
        <v>256</v>
      </c>
      <c r="Q17" t="s">
        <v>177</v>
      </c>
      <c r="R17">
        <v>14.3932580399999</v>
      </c>
      <c r="S17">
        <v>37.777167419999898</v>
      </c>
      <c r="T17" t="s">
        <v>35</v>
      </c>
      <c r="U17" t="s">
        <v>36</v>
      </c>
      <c r="W17" t="s">
        <v>150</v>
      </c>
      <c r="Y17" t="s">
        <v>169</v>
      </c>
      <c r="Z17">
        <v>933793817</v>
      </c>
    </row>
    <row r="18" spans="1:26" x14ac:dyDescent="0.35">
      <c r="A18" t="s">
        <v>471</v>
      </c>
      <c r="B18" t="s">
        <v>472</v>
      </c>
      <c r="C18" t="s">
        <v>473</v>
      </c>
      <c r="D18" t="s">
        <v>474</v>
      </c>
      <c r="F18" t="s">
        <v>27</v>
      </c>
      <c r="G18">
        <v>44145</v>
      </c>
      <c r="I18" t="s">
        <v>28</v>
      </c>
      <c r="J18" t="s">
        <v>140</v>
      </c>
      <c r="K18" t="s">
        <v>141</v>
      </c>
      <c r="L18" t="s">
        <v>146</v>
      </c>
      <c r="M18" t="s">
        <v>147</v>
      </c>
      <c r="N18" t="s">
        <v>567</v>
      </c>
      <c r="O18" t="s">
        <v>149</v>
      </c>
      <c r="P18" t="s">
        <v>256</v>
      </c>
      <c r="Q18" t="s">
        <v>177</v>
      </c>
      <c r="R18">
        <v>14.3954971999999</v>
      </c>
      <c r="S18">
        <v>37.777664999999899</v>
      </c>
      <c r="T18" t="s">
        <v>35</v>
      </c>
      <c r="U18" t="s">
        <v>36</v>
      </c>
      <c r="W18" t="s">
        <v>150</v>
      </c>
      <c r="Y18" t="s">
        <v>169</v>
      </c>
      <c r="Z18">
        <v>933793817</v>
      </c>
    </row>
    <row r="19" spans="1:26" x14ac:dyDescent="0.35">
      <c r="A19" t="s">
        <v>475</v>
      </c>
      <c r="B19" t="s">
        <v>476</v>
      </c>
      <c r="C19" t="s">
        <v>477</v>
      </c>
      <c r="D19" t="s">
        <v>478</v>
      </c>
      <c r="E19" t="s">
        <v>479</v>
      </c>
      <c r="F19" t="s">
        <v>27</v>
      </c>
      <c r="G19">
        <v>44287</v>
      </c>
      <c r="I19" t="s">
        <v>28</v>
      </c>
      <c r="J19" t="s">
        <v>140</v>
      </c>
      <c r="K19" t="s">
        <v>141</v>
      </c>
      <c r="L19" t="s">
        <v>146</v>
      </c>
      <c r="M19" t="s">
        <v>147</v>
      </c>
      <c r="N19" t="s">
        <v>564</v>
      </c>
      <c r="O19" t="s">
        <v>190</v>
      </c>
      <c r="P19" t="s">
        <v>163</v>
      </c>
      <c r="Q19" t="s">
        <v>177</v>
      </c>
      <c r="R19">
        <v>14.1111749999999</v>
      </c>
      <c r="S19">
        <v>38.299660000000003</v>
      </c>
      <c r="T19" t="s">
        <v>35</v>
      </c>
      <c r="U19" t="s">
        <v>36</v>
      </c>
      <c r="W19" t="s">
        <v>150</v>
      </c>
      <c r="Y19" t="s">
        <v>267</v>
      </c>
      <c r="Z19">
        <v>933021622</v>
      </c>
    </row>
    <row r="20" spans="1:26" x14ac:dyDescent="0.35">
      <c r="A20" t="s">
        <v>486</v>
      </c>
      <c r="B20" t="s">
        <v>487</v>
      </c>
      <c r="C20" t="s">
        <v>488</v>
      </c>
      <c r="D20" t="s">
        <v>489</v>
      </c>
      <c r="F20" t="s">
        <v>27</v>
      </c>
      <c r="G20">
        <v>44156</v>
      </c>
      <c r="I20" t="s">
        <v>28</v>
      </c>
      <c r="J20" t="s">
        <v>140</v>
      </c>
      <c r="K20" t="s">
        <v>141</v>
      </c>
      <c r="L20" t="s">
        <v>146</v>
      </c>
      <c r="M20" t="s">
        <v>147</v>
      </c>
      <c r="N20" t="s">
        <v>564</v>
      </c>
      <c r="O20" t="s">
        <v>190</v>
      </c>
      <c r="P20" t="s">
        <v>242</v>
      </c>
      <c r="Q20" t="s">
        <v>177</v>
      </c>
      <c r="R20">
        <v>14.099835000000001</v>
      </c>
      <c r="S20">
        <v>38.275061200000003</v>
      </c>
      <c r="T20" t="s">
        <v>35</v>
      </c>
      <c r="U20" t="s">
        <v>36</v>
      </c>
      <c r="W20" t="s">
        <v>150</v>
      </c>
      <c r="Y20" t="s">
        <v>267</v>
      </c>
      <c r="Z20">
        <v>933021622</v>
      </c>
    </row>
    <row r="21" spans="1:26" x14ac:dyDescent="0.35">
      <c r="D21" t="s">
        <v>569</v>
      </c>
      <c r="F21" t="s">
        <v>27</v>
      </c>
      <c r="G21" t="s">
        <v>570</v>
      </c>
      <c r="I21" t="s">
        <v>28</v>
      </c>
      <c r="J21" t="s">
        <v>140</v>
      </c>
      <c r="K21" t="s">
        <v>141</v>
      </c>
      <c r="L21" t="s">
        <v>262</v>
      </c>
      <c r="M21" t="s">
        <v>263</v>
      </c>
      <c r="N21" t="s">
        <v>264</v>
      </c>
      <c r="O21" t="s">
        <v>265</v>
      </c>
      <c r="P21">
        <v>2</v>
      </c>
      <c r="Q21" t="s">
        <v>145</v>
      </c>
      <c r="R21">
        <v>14.2783871999999</v>
      </c>
      <c r="S21">
        <v>39.460439000000001</v>
      </c>
      <c r="T21" t="s">
        <v>35</v>
      </c>
      <c r="U21" t="s">
        <v>36</v>
      </c>
      <c r="W21" t="s">
        <v>150</v>
      </c>
      <c r="Y21" t="s">
        <v>565</v>
      </c>
      <c r="Z21">
        <v>945065434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0B63-A7CE-4AD1-B57F-7D3FB222556F}">
  <dimension ref="A1:AC2"/>
  <sheetViews>
    <sheetView workbookViewId="0"/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24.83203125" bestFit="1" customWidth="1"/>
    <col min="5" max="5" width="20.5820312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7.25" bestFit="1" customWidth="1"/>
    <col min="10" max="10" width="8.83203125" bestFit="1" customWidth="1"/>
    <col min="11" max="11" width="20.83203125" bestFit="1" customWidth="1"/>
    <col min="12" max="12" width="7.33203125" bestFit="1" customWidth="1"/>
    <col min="13" max="13" width="21.08203125" bestFit="1" customWidth="1"/>
    <col min="14" max="14" width="14.75" bestFit="1" customWidth="1"/>
    <col min="15" max="15" width="21.08203125" bestFit="1" customWidth="1"/>
    <col min="16" max="16" width="8.75" bestFit="1" customWidth="1"/>
    <col min="17" max="17" width="7.33203125" bestFit="1" customWidth="1"/>
    <col min="18" max="19" width="7.83203125" bestFit="1" customWidth="1"/>
    <col min="20" max="20" width="22.5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17.75" bestFit="1" customWidth="1"/>
    <col min="26" max="26" width="10.83203125" bestFit="1" customWidth="1"/>
    <col min="27" max="27" width="11.83203125" bestFit="1" customWidth="1"/>
    <col min="28" max="28" width="12.5" bestFit="1" customWidth="1"/>
    <col min="29" max="29" width="10.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548</v>
      </c>
      <c r="Y1" t="s">
        <v>22</v>
      </c>
      <c r="Z1" t="s">
        <v>23</v>
      </c>
      <c r="AA1" t="s">
        <v>571</v>
      </c>
      <c r="AB1" t="s">
        <v>572</v>
      </c>
      <c r="AC1" t="s">
        <v>553</v>
      </c>
    </row>
    <row r="2" spans="1:29" x14ac:dyDescent="0.35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 t="s">
        <v>27</v>
      </c>
      <c r="G2">
        <v>44890</v>
      </c>
      <c r="I2" t="s">
        <v>28</v>
      </c>
      <c r="J2" t="s">
        <v>140</v>
      </c>
      <c r="K2" t="s">
        <v>141</v>
      </c>
      <c r="L2" t="s">
        <v>145</v>
      </c>
      <c r="M2" t="s">
        <v>183</v>
      </c>
      <c r="N2" t="s">
        <v>184</v>
      </c>
      <c r="O2" t="s">
        <v>535</v>
      </c>
      <c r="Q2" t="s">
        <v>145</v>
      </c>
      <c r="R2">
        <v>13.4725</v>
      </c>
      <c r="S2">
        <v>39.4527</v>
      </c>
      <c r="T2" t="s">
        <v>35</v>
      </c>
      <c r="U2" t="s">
        <v>36</v>
      </c>
      <c r="W2" t="s">
        <v>663</v>
      </c>
      <c r="Y2" t="s">
        <v>664</v>
      </c>
      <c r="Z2" t="s">
        <v>665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ED66-ED6A-469E-AFBC-2CB7933E089E}">
  <dimension ref="A1:AA21"/>
  <sheetViews>
    <sheetView workbookViewId="0"/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28.75" bestFit="1" customWidth="1"/>
    <col min="5" max="5" width="22.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7.25" bestFit="1" customWidth="1"/>
    <col min="10" max="10" width="8.83203125" bestFit="1" customWidth="1"/>
    <col min="11" max="11" width="20.83203125" bestFit="1" customWidth="1"/>
    <col min="12" max="12" width="16" bestFit="1" customWidth="1"/>
    <col min="13" max="13" width="21.08203125" bestFit="1" customWidth="1"/>
    <col min="14" max="14" width="17.25" bestFit="1" customWidth="1"/>
    <col min="15" max="15" width="21.08203125" bestFit="1" customWidth="1"/>
    <col min="16" max="16" width="8.83203125" bestFit="1" customWidth="1"/>
    <col min="17" max="17" width="6.75" bestFit="1" customWidth="1"/>
    <col min="18" max="19" width="10.83203125" bestFit="1" customWidth="1"/>
    <col min="20" max="20" width="22.5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17.75" bestFit="1" customWidth="1"/>
    <col min="26" max="26" width="10.83203125" bestFit="1" customWidth="1"/>
    <col min="27" max="27" width="12.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548</v>
      </c>
      <c r="Y1" t="s">
        <v>22</v>
      </c>
      <c r="Z1" t="s">
        <v>23</v>
      </c>
      <c r="AA1" t="s">
        <v>544</v>
      </c>
    </row>
    <row r="2" spans="1:27" x14ac:dyDescent="0.35">
      <c r="A2" t="s">
        <v>119</v>
      </c>
      <c r="B2" t="s">
        <v>119</v>
      </c>
      <c r="C2" t="s">
        <v>120</v>
      </c>
      <c r="D2" t="s">
        <v>121</v>
      </c>
      <c r="E2" t="s">
        <v>122</v>
      </c>
      <c r="F2" t="s">
        <v>27</v>
      </c>
      <c r="G2">
        <v>44627</v>
      </c>
      <c r="I2" t="s">
        <v>28</v>
      </c>
      <c r="J2" t="s">
        <v>29</v>
      </c>
      <c r="K2" t="s">
        <v>30</v>
      </c>
      <c r="L2" t="s">
        <v>40</v>
      </c>
      <c r="M2" t="s">
        <v>41</v>
      </c>
      <c r="N2" t="s">
        <v>666</v>
      </c>
      <c r="O2" t="s">
        <v>42</v>
      </c>
      <c r="P2">
        <v>7</v>
      </c>
      <c r="R2">
        <v>9.6627533999999997</v>
      </c>
      <c r="S2">
        <v>39.503805800000002</v>
      </c>
      <c r="T2" t="s">
        <v>35</v>
      </c>
      <c r="U2" t="s">
        <v>36</v>
      </c>
      <c r="W2" t="s">
        <v>43</v>
      </c>
      <c r="X2" t="s">
        <v>199</v>
      </c>
      <c r="Y2" t="s">
        <v>44</v>
      </c>
      <c r="Z2" t="s">
        <v>667</v>
      </c>
      <c r="AA2">
        <v>1793</v>
      </c>
    </row>
    <row r="3" spans="1:27" x14ac:dyDescent="0.35">
      <c r="A3" t="s">
        <v>38</v>
      </c>
      <c r="B3" t="s">
        <v>38</v>
      </c>
      <c r="D3" t="s">
        <v>39</v>
      </c>
      <c r="F3" t="s">
        <v>27</v>
      </c>
      <c r="G3">
        <v>45110</v>
      </c>
      <c r="I3" t="s">
        <v>53</v>
      </c>
      <c r="J3" t="s">
        <v>29</v>
      </c>
      <c r="K3" t="s">
        <v>30</v>
      </c>
      <c r="L3" t="s">
        <v>40</v>
      </c>
      <c r="M3" t="s">
        <v>41</v>
      </c>
      <c r="N3" t="s">
        <v>666</v>
      </c>
      <c r="O3" t="s">
        <v>42</v>
      </c>
      <c r="P3" t="s">
        <v>39</v>
      </c>
      <c r="R3">
        <v>9.6926000000000005</v>
      </c>
      <c r="S3">
        <v>39.623699999999999</v>
      </c>
      <c r="T3" t="s">
        <v>35</v>
      </c>
      <c r="U3" t="s">
        <v>36</v>
      </c>
      <c r="W3" t="s">
        <v>43</v>
      </c>
      <c r="X3" t="s">
        <v>199</v>
      </c>
      <c r="Y3" t="s">
        <v>44</v>
      </c>
      <c r="Z3" t="s">
        <v>667</v>
      </c>
      <c r="AA3">
        <v>1355</v>
      </c>
    </row>
    <row r="4" spans="1:27" x14ac:dyDescent="0.35">
      <c r="A4" t="s">
        <v>45</v>
      </c>
      <c r="B4" t="s">
        <v>45</v>
      </c>
      <c r="C4" t="s">
        <v>46</v>
      </c>
      <c r="D4" t="s">
        <v>47</v>
      </c>
      <c r="F4" t="s">
        <v>27</v>
      </c>
      <c r="G4">
        <v>44487</v>
      </c>
      <c r="I4" t="s">
        <v>28</v>
      </c>
      <c r="J4" t="s">
        <v>29</v>
      </c>
      <c r="K4" t="s">
        <v>30</v>
      </c>
      <c r="L4" t="s">
        <v>40</v>
      </c>
      <c r="M4" t="s">
        <v>41</v>
      </c>
      <c r="N4" t="s">
        <v>666</v>
      </c>
      <c r="O4" t="s">
        <v>42</v>
      </c>
      <c r="P4">
        <v>9</v>
      </c>
      <c r="R4">
        <v>9.6411599999999993</v>
      </c>
      <c r="S4">
        <v>39.508209999999998</v>
      </c>
      <c r="T4" t="s">
        <v>35</v>
      </c>
      <c r="U4" t="s">
        <v>36</v>
      </c>
      <c r="W4" t="s">
        <v>43</v>
      </c>
      <c r="X4" t="s">
        <v>199</v>
      </c>
      <c r="Y4" t="s">
        <v>44</v>
      </c>
      <c r="Z4" t="s">
        <v>667</v>
      </c>
      <c r="AA4">
        <v>3734</v>
      </c>
    </row>
    <row r="5" spans="1:27" x14ac:dyDescent="0.35">
      <c r="A5" t="s">
        <v>24</v>
      </c>
      <c r="B5" t="s">
        <v>24</v>
      </c>
      <c r="C5" t="s">
        <v>25</v>
      </c>
      <c r="D5" t="s">
        <v>26</v>
      </c>
      <c r="E5" t="s">
        <v>668</v>
      </c>
      <c r="F5" t="s">
        <v>27</v>
      </c>
      <c r="G5">
        <v>43396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26</v>
      </c>
      <c r="R5">
        <v>12.100680000000001</v>
      </c>
      <c r="S5">
        <v>39.650350000000003</v>
      </c>
      <c r="T5" t="s">
        <v>35</v>
      </c>
      <c r="U5" t="s">
        <v>36</v>
      </c>
      <c r="W5" t="s">
        <v>37</v>
      </c>
      <c r="X5" t="s">
        <v>551</v>
      </c>
      <c r="Y5" t="s">
        <v>91</v>
      </c>
      <c r="Z5" t="s">
        <v>669</v>
      </c>
      <c r="AA5">
        <v>191</v>
      </c>
    </row>
    <row r="6" spans="1:27" x14ac:dyDescent="0.35">
      <c r="A6" t="s">
        <v>69</v>
      </c>
      <c r="B6" t="s">
        <v>69</v>
      </c>
      <c r="C6" t="s">
        <v>70</v>
      </c>
      <c r="D6" t="s">
        <v>71</v>
      </c>
      <c r="E6" t="s">
        <v>670</v>
      </c>
      <c r="F6" t="s">
        <v>27</v>
      </c>
      <c r="G6">
        <v>43396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671</v>
      </c>
      <c r="O6" t="s">
        <v>51</v>
      </c>
      <c r="P6" t="s">
        <v>52</v>
      </c>
      <c r="R6">
        <v>11.823771000000001</v>
      </c>
      <c r="S6">
        <v>39.585687999999998</v>
      </c>
      <c r="T6" t="s">
        <v>35</v>
      </c>
      <c r="U6" t="s">
        <v>36</v>
      </c>
      <c r="W6" t="s">
        <v>37</v>
      </c>
      <c r="X6" t="s">
        <v>551</v>
      </c>
      <c r="Y6" t="s">
        <v>91</v>
      </c>
      <c r="Z6" t="s">
        <v>669</v>
      </c>
      <c r="AA6">
        <v>62</v>
      </c>
    </row>
    <row r="7" spans="1:27" x14ac:dyDescent="0.35">
      <c r="A7" t="s">
        <v>73</v>
      </c>
      <c r="B7" t="s">
        <v>73</v>
      </c>
      <c r="C7" t="s">
        <v>74</v>
      </c>
      <c r="D7" t="s">
        <v>75</v>
      </c>
      <c r="E7" t="s">
        <v>75</v>
      </c>
      <c r="F7" t="s">
        <v>27</v>
      </c>
      <c r="G7">
        <v>43396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76</v>
      </c>
      <c r="O7" t="s">
        <v>77</v>
      </c>
      <c r="P7" t="s">
        <v>75</v>
      </c>
      <c r="R7">
        <v>11.569979999999999</v>
      </c>
      <c r="S7">
        <v>39.72099</v>
      </c>
      <c r="T7" t="s">
        <v>35</v>
      </c>
      <c r="U7" t="s">
        <v>36</v>
      </c>
      <c r="W7" t="s">
        <v>37</v>
      </c>
      <c r="X7" t="s">
        <v>551</v>
      </c>
      <c r="Y7" t="s">
        <v>91</v>
      </c>
      <c r="Z7" t="s">
        <v>669</v>
      </c>
      <c r="AA7">
        <v>25</v>
      </c>
    </row>
    <row r="8" spans="1:27" x14ac:dyDescent="0.35">
      <c r="A8" t="s">
        <v>87</v>
      </c>
      <c r="B8" t="s">
        <v>87</v>
      </c>
      <c r="C8" t="s">
        <v>88</v>
      </c>
      <c r="D8" t="s">
        <v>89</v>
      </c>
      <c r="E8" t="s">
        <v>532</v>
      </c>
      <c r="F8" t="s">
        <v>27</v>
      </c>
      <c r="G8">
        <v>44562</v>
      </c>
      <c r="I8" t="s">
        <v>53</v>
      </c>
      <c r="J8" t="s">
        <v>29</v>
      </c>
      <c r="K8" t="s">
        <v>30</v>
      </c>
      <c r="L8" t="s">
        <v>31</v>
      </c>
      <c r="M8" t="s">
        <v>32</v>
      </c>
      <c r="N8" t="s">
        <v>76</v>
      </c>
      <c r="O8" t="s">
        <v>77</v>
      </c>
      <c r="P8" t="s">
        <v>90</v>
      </c>
      <c r="R8">
        <v>11.677496</v>
      </c>
      <c r="S8">
        <v>39.897956999999998</v>
      </c>
      <c r="T8" t="s">
        <v>35</v>
      </c>
      <c r="U8" t="s">
        <v>36</v>
      </c>
      <c r="W8" t="s">
        <v>43</v>
      </c>
      <c r="X8" t="s">
        <v>199</v>
      </c>
      <c r="Y8" t="s">
        <v>91</v>
      </c>
      <c r="Z8" t="s">
        <v>669</v>
      </c>
      <c r="AA8">
        <v>2665</v>
      </c>
    </row>
    <row r="9" spans="1:27" x14ac:dyDescent="0.35">
      <c r="A9" t="s">
        <v>529</v>
      </c>
      <c r="B9" t="s">
        <v>529</v>
      </c>
      <c r="D9" t="s">
        <v>530</v>
      </c>
      <c r="E9" t="s">
        <v>672</v>
      </c>
      <c r="F9" t="s">
        <v>27</v>
      </c>
      <c r="G9">
        <v>43396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671</v>
      </c>
      <c r="O9" t="s">
        <v>51</v>
      </c>
      <c r="P9" t="s">
        <v>52</v>
      </c>
      <c r="R9">
        <v>11.825596000000001</v>
      </c>
      <c r="S9">
        <v>39.575631000000001</v>
      </c>
      <c r="T9" t="s">
        <v>35</v>
      </c>
      <c r="U9" t="s">
        <v>36</v>
      </c>
      <c r="W9" t="s">
        <v>37</v>
      </c>
      <c r="X9" t="s">
        <v>551</v>
      </c>
      <c r="Y9" t="s">
        <v>91</v>
      </c>
      <c r="Z9" t="s">
        <v>669</v>
      </c>
      <c r="AA9">
        <v>41</v>
      </c>
    </row>
    <row r="10" spans="1:27" x14ac:dyDescent="0.35">
      <c r="A10" t="s">
        <v>527</v>
      </c>
      <c r="B10" t="s">
        <v>527</v>
      </c>
      <c r="D10" t="s">
        <v>528</v>
      </c>
      <c r="E10" t="s">
        <v>673</v>
      </c>
      <c r="F10" t="s">
        <v>27</v>
      </c>
      <c r="G10">
        <v>43396</v>
      </c>
      <c r="I10" t="s">
        <v>208</v>
      </c>
      <c r="J10" t="s">
        <v>29</v>
      </c>
      <c r="K10" t="s">
        <v>30</v>
      </c>
      <c r="L10" t="s">
        <v>31</v>
      </c>
      <c r="M10" t="s">
        <v>32</v>
      </c>
      <c r="N10" t="s">
        <v>674</v>
      </c>
      <c r="O10" t="s">
        <v>533</v>
      </c>
      <c r="P10" t="s">
        <v>495</v>
      </c>
      <c r="R10">
        <v>11.6649572</v>
      </c>
      <c r="S10">
        <v>39.659557599999999</v>
      </c>
      <c r="T10" t="s">
        <v>35</v>
      </c>
      <c r="U10" t="s">
        <v>36</v>
      </c>
      <c r="W10" t="s">
        <v>37</v>
      </c>
      <c r="X10" t="s">
        <v>551</v>
      </c>
      <c r="Y10" t="s">
        <v>91</v>
      </c>
      <c r="Z10" t="s">
        <v>669</v>
      </c>
      <c r="AA10">
        <v>104</v>
      </c>
    </row>
    <row r="11" spans="1:27" x14ac:dyDescent="0.35">
      <c r="A11" t="s">
        <v>48</v>
      </c>
      <c r="B11" t="s">
        <v>48</v>
      </c>
      <c r="C11" t="s">
        <v>49</v>
      </c>
      <c r="D11" t="s">
        <v>50</v>
      </c>
      <c r="E11" t="s">
        <v>675</v>
      </c>
      <c r="F11" t="s">
        <v>27</v>
      </c>
      <c r="G11">
        <v>43396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671</v>
      </c>
      <c r="O11" t="s">
        <v>51</v>
      </c>
      <c r="P11" t="s">
        <v>52</v>
      </c>
      <c r="R11">
        <v>11.823492</v>
      </c>
      <c r="S11">
        <v>39.581499999999998</v>
      </c>
      <c r="T11" t="s">
        <v>35</v>
      </c>
      <c r="U11" t="s">
        <v>36</v>
      </c>
      <c r="W11" t="s">
        <v>37</v>
      </c>
      <c r="X11" t="s">
        <v>551</v>
      </c>
      <c r="Y11" t="s">
        <v>91</v>
      </c>
      <c r="Z11" t="s">
        <v>669</v>
      </c>
      <c r="AA11">
        <v>34</v>
      </c>
    </row>
    <row r="12" spans="1:27" x14ac:dyDescent="0.35">
      <c r="A12" t="s">
        <v>110</v>
      </c>
      <c r="B12" t="s">
        <v>110</v>
      </c>
      <c r="C12" t="s">
        <v>111</v>
      </c>
      <c r="D12" t="s">
        <v>112</v>
      </c>
      <c r="E12" t="s">
        <v>113</v>
      </c>
      <c r="F12" t="s">
        <v>27</v>
      </c>
      <c r="G12">
        <v>44265</v>
      </c>
      <c r="I12" t="s">
        <v>28</v>
      </c>
      <c r="J12" t="s">
        <v>29</v>
      </c>
      <c r="K12" t="s">
        <v>30</v>
      </c>
      <c r="L12" t="s">
        <v>58</v>
      </c>
      <c r="M12" t="s">
        <v>59</v>
      </c>
      <c r="N12" t="s">
        <v>106</v>
      </c>
      <c r="O12" t="s">
        <v>107</v>
      </c>
      <c r="P12">
        <v>1</v>
      </c>
      <c r="R12">
        <v>10.915317999999999</v>
      </c>
      <c r="S12">
        <v>40.026614000000002</v>
      </c>
      <c r="T12" t="s">
        <v>35</v>
      </c>
      <c r="U12" t="s">
        <v>36</v>
      </c>
      <c r="W12" t="s">
        <v>37</v>
      </c>
      <c r="Y12" t="s">
        <v>62</v>
      </c>
      <c r="Z12" t="s">
        <v>676</v>
      </c>
    </row>
    <row r="13" spans="1:27" x14ac:dyDescent="0.35">
      <c r="A13" t="s">
        <v>63</v>
      </c>
      <c r="B13" t="s">
        <v>63</v>
      </c>
      <c r="C13" t="s">
        <v>64</v>
      </c>
      <c r="D13" t="s">
        <v>65</v>
      </c>
      <c r="E13" t="s">
        <v>66</v>
      </c>
      <c r="F13" t="s">
        <v>27</v>
      </c>
      <c r="G13">
        <v>44299</v>
      </c>
      <c r="I13" t="s">
        <v>28</v>
      </c>
      <c r="J13" t="s">
        <v>29</v>
      </c>
      <c r="K13" t="s">
        <v>30</v>
      </c>
      <c r="L13" t="s">
        <v>58</v>
      </c>
      <c r="M13" t="s">
        <v>59</v>
      </c>
      <c r="N13" t="s">
        <v>67</v>
      </c>
      <c r="O13" t="s">
        <v>68</v>
      </c>
      <c r="P13">
        <v>21</v>
      </c>
      <c r="R13">
        <v>11.151808000000001</v>
      </c>
      <c r="S13">
        <v>39.909165999999999</v>
      </c>
      <c r="T13" t="s">
        <v>35</v>
      </c>
      <c r="U13" t="s">
        <v>36</v>
      </c>
      <c r="W13" t="s">
        <v>37</v>
      </c>
      <c r="Y13" t="s">
        <v>62</v>
      </c>
      <c r="Z13" t="s">
        <v>676</v>
      </c>
    </row>
    <row r="14" spans="1:27" x14ac:dyDescent="0.35">
      <c r="A14" t="s">
        <v>97</v>
      </c>
      <c r="B14" t="s">
        <v>97</v>
      </c>
      <c r="C14" t="s">
        <v>98</v>
      </c>
      <c r="D14" t="s">
        <v>99</v>
      </c>
      <c r="E14" t="s">
        <v>100</v>
      </c>
      <c r="F14" t="s">
        <v>27</v>
      </c>
      <c r="G14">
        <v>44301</v>
      </c>
      <c r="I14" t="s">
        <v>28</v>
      </c>
      <c r="J14" t="s">
        <v>29</v>
      </c>
      <c r="K14" t="s">
        <v>30</v>
      </c>
      <c r="L14" t="s">
        <v>58</v>
      </c>
      <c r="M14" t="s">
        <v>59</v>
      </c>
      <c r="N14" t="s">
        <v>60</v>
      </c>
      <c r="O14" t="s">
        <v>61</v>
      </c>
      <c r="P14">
        <v>4</v>
      </c>
      <c r="R14">
        <v>10.750737000000001</v>
      </c>
      <c r="S14">
        <v>38.754980000000003</v>
      </c>
      <c r="T14" t="s">
        <v>35</v>
      </c>
      <c r="U14" t="s">
        <v>36</v>
      </c>
      <c r="W14" t="s">
        <v>37</v>
      </c>
      <c r="Y14" t="s">
        <v>62</v>
      </c>
      <c r="Z14" t="s">
        <v>676</v>
      </c>
    </row>
    <row r="15" spans="1:27" x14ac:dyDescent="0.35">
      <c r="A15" t="s">
        <v>102</v>
      </c>
      <c r="B15" t="s">
        <v>102</v>
      </c>
      <c r="D15" t="s">
        <v>103</v>
      </c>
      <c r="E15" t="s">
        <v>104</v>
      </c>
      <c r="F15" t="s">
        <v>27</v>
      </c>
      <c r="G15">
        <v>44189</v>
      </c>
      <c r="I15" t="s">
        <v>28</v>
      </c>
      <c r="J15" t="s">
        <v>29</v>
      </c>
      <c r="K15" t="s">
        <v>30</v>
      </c>
      <c r="L15" t="s">
        <v>58</v>
      </c>
      <c r="M15" t="s">
        <v>59</v>
      </c>
      <c r="N15" t="s">
        <v>104</v>
      </c>
      <c r="O15" t="s">
        <v>105</v>
      </c>
      <c r="P15">
        <v>1</v>
      </c>
      <c r="R15">
        <v>11.232918</v>
      </c>
      <c r="S15">
        <v>39.063749999999999</v>
      </c>
      <c r="T15" t="s">
        <v>35</v>
      </c>
      <c r="U15" t="s">
        <v>36</v>
      </c>
      <c r="W15" t="s">
        <v>37</v>
      </c>
      <c r="Y15" t="s">
        <v>62</v>
      </c>
      <c r="Z15" t="s">
        <v>676</v>
      </c>
    </row>
    <row r="16" spans="1:27" x14ac:dyDescent="0.35">
      <c r="A16" t="s">
        <v>78</v>
      </c>
      <c r="B16" t="s">
        <v>78</v>
      </c>
      <c r="C16" t="s">
        <v>79</v>
      </c>
      <c r="D16" t="s">
        <v>80</v>
      </c>
      <c r="E16" t="s">
        <v>81</v>
      </c>
      <c r="F16" t="s">
        <v>27</v>
      </c>
      <c r="G16">
        <v>44885</v>
      </c>
      <c r="I16" t="s">
        <v>28</v>
      </c>
      <c r="J16" t="s">
        <v>29</v>
      </c>
      <c r="K16" t="s">
        <v>30</v>
      </c>
      <c r="L16" t="s">
        <v>58</v>
      </c>
      <c r="M16" t="s">
        <v>59</v>
      </c>
      <c r="N16" t="s">
        <v>82</v>
      </c>
      <c r="O16" t="s">
        <v>83</v>
      </c>
      <c r="P16">
        <v>16</v>
      </c>
      <c r="R16">
        <v>11.506600000000001</v>
      </c>
      <c r="S16">
        <v>39.6126</v>
      </c>
      <c r="T16" t="s">
        <v>35</v>
      </c>
      <c r="U16" t="s">
        <v>36</v>
      </c>
      <c r="W16" t="s">
        <v>37</v>
      </c>
      <c r="Y16" t="s">
        <v>62</v>
      </c>
      <c r="Z16" t="s">
        <v>676</v>
      </c>
    </row>
    <row r="17" spans="1:26" x14ac:dyDescent="0.35">
      <c r="A17" t="s">
        <v>55</v>
      </c>
      <c r="B17" t="s">
        <v>55</v>
      </c>
      <c r="C17" t="s">
        <v>56</v>
      </c>
      <c r="D17" t="s">
        <v>57</v>
      </c>
      <c r="F17" t="s">
        <v>27</v>
      </c>
      <c r="G17">
        <v>44301</v>
      </c>
      <c r="I17" t="s">
        <v>28</v>
      </c>
      <c r="J17" t="s">
        <v>29</v>
      </c>
      <c r="K17" t="s">
        <v>30</v>
      </c>
      <c r="L17" t="s">
        <v>58</v>
      </c>
      <c r="M17" t="s">
        <v>59</v>
      </c>
      <c r="N17" t="s">
        <v>60</v>
      </c>
      <c r="O17" t="s">
        <v>61</v>
      </c>
      <c r="P17">
        <v>3</v>
      </c>
      <c r="R17">
        <v>10.744341</v>
      </c>
      <c r="S17">
        <v>38.727817999999999</v>
      </c>
      <c r="T17" t="s">
        <v>35</v>
      </c>
      <c r="U17" t="s">
        <v>36</v>
      </c>
      <c r="W17" t="s">
        <v>37</v>
      </c>
      <c r="Y17" t="s">
        <v>62</v>
      </c>
      <c r="Z17" t="s">
        <v>676</v>
      </c>
    </row>
    <row r="18" spans="1:26" x14ac:dyDescent="0.35">
      <c r="A18" t="s">
        <v>84</v>
      </c>
      <c r="B18" t="s">
        <v>84</v>
      </c>
      <c r="C18" t="s">
        <v>85</v>
      </c>
      <c r="D18" t="s">
        <v>86</v>
      </c>
      <c r="F18" t="s">
        <v>27</v>
      </c>
      <c r="G18">
        <v>44308</v>
      </c>
      <c r="I18" t="s">
        <v>28</v>
      </c>
      <c r="J18" t="s">
        <v>29</v>
      </c>
      <c r="K18" t="s">
        <v>30</v>
      </c>
      <c r="L18" t="s">
        <v>58</v>
      </c>
      <c r="M18" t="s">
        <v>59</v>
      </c>
      <c r="N18" t="s">
        <v>82</v>
      </c>
      <c r="O18" t="s">
        <v>83</v>
      </c>
      <c r="P18">
        <v>13</v>
      </c>
      <c r="R18">
        <v>11.319932</v>
      </c>
      <c r="S18">
        <v>39.674816999999997</v>
      </c>
      <c r="T18" t="s">
        <v>35</v>
      </c>
      <c r="U18" t="s">
        <v>36</v>
      </c>
      <c r="W18" t="s">
        <v>37</v>
      </c>
      <c r="Y18" t="s">
        <v>62</v>
      </c>
      <c r="Z18" t="s">
        <v>676</v>
      </c>
    </row>
    <row r="19" spans="1:26" x14ac:dyDescent="0.35">
      <c r="A19" t="s">
        <v>92</v>
      </c>
      <c r="B19" t="s">
        <v>92</v>
      </c>
      <c r="C19" t="s">
        <v>93</v>
      </c>
      <c r="D19" t="s">
        <v>94</v>
      </c>
      <c r="F19" t="s">
        <v>27</v>
      </c>
      <c r="G19">
        <v>44299</v>
      </c>
      <c r="I19" t="s">
        <v>28</v>
      </c>
      <c r="J19" t="s">
        <v>29</v>
      </c>
      <c r="K19" t="s">
        <v>30</v>
      </c>
      <c r="L19" t="s">
        <v>58</v>
      </c>
      <c r="M19" t="s">
        <v>59</v>
      </c>
      <c r="N19" t="s">
        <v>95</v>
      </c>
      <c r="O19" t="s">
        <v>96</v>
      </c>
      <c r="P19">
        <v>6</v>
      </c>
      <c r="R19">
        <v>11.259637</v>
      </c>
      <c r="S19">
        <v>39.554808999999999</v>
      </c>
      <c r="T19" t="s">
        <v>35</v>
      </c>
      <c r="U19" t="s">
        <v>36</v>
      </c>
      <c r="W19" t="s">
        <v>37</v>
      </c>
      <c r="Y19" t="s">
        <v>62</v>
      </c>
      <c r="Z19" t="s">
        <v>676</v>
      </c>
    </row>
    <row r="20" spans="1:26" x14ac:dyDescent="0.35">
      <c r="A20" t="s">
        <v>114</v>
      </c>
      <c r="B20" t="s">
        <v>114</v>
      </c>
      <c r="C20" t="s">
        <v>115</v>
      </c>
      <c r="D20" t="s">
        <v>116</v>
      </c>
      <c r="F20" t="s">
        <v>27</v>
      </c>
      <c r="G20">
        <v>44290</v>
      </c>
      <c r="I20" t="s">
        <v>28</v>
      </c>
      <c r="J20" t="s">
        <v>29</v>
      </c>
      <c r="K20" t="s">
        <v>30</v>
      </c>
      <c r="L20" t="s">
        <v>58</v>
      </c>
      <c r="M20" t="s">
        <v>59</v>
      </c>
      <c r="N20" t="s">
        <v>82</v>
      </c>
      <c r="O20" t="s">
        <v>83</v>
      </c>
      <c r="P20">
        <v>4</v>
      </c>
      <c r="R20">
        <v>11.309856</v>
      </c>
      <c r="S20">
        <v>39.677132999999998</v>
      </c>
      <c r="T20" t="s">
        <v>35</v>
      </c>
      <c r="U20" t="s">
        <v>36</v>
      </c>
      <c r="W20" t="s">
        <v>37</v>
      </c>
      <c r="Y20" t="s">
        <v>62</v>
      </c>
      <c r="Z20" t="s">
        <v>676</v>
      </c>
    </row>
    <row r="21" spans="1:26" x14ac:dyDescent="0.35">
      <c r="A21" t="s">
        <v>117</v>
      </c>
      <c r="B21" t="s">
        <v>117</v>
      </c>
      <c r="D21" t="s">
        <v>118</v>
      </c>
      <c r="F21" t="s">
        <v>27</v>
      </c>
      <c r="G21">
        <v>44227</v>
      </c>
      <c r="I21" t="s">
        <v>28</v>
      </c>
      <c r="J21" t="s">
        <v>29</v>
      </c>
      <c r="K21" t="s">
        <v>30</v>
      </c>
      <c r="L21" t="s">
        <v>58</v>
      </c>
      <c r="M21" t="s">
        <v>59</v>
      </c>
      <c r="N21" t="s">
        <v>60</v>
      </c>
      <c r="O21" t="s">
        <v>61</v>
      </c>
      <c r="P21">
        <v>2</v>
      </c>
      <c r="R21">
        <v>10.751355</v>
      </c>
      <c r="S21">
        <v>38.756700000000002</v>
      </c>
      <c r="T21" t="s">
        <v>35</v>
      </c>
      <c r="U21" t="s">
        <v>36</v>
      </c>
      <c r="W21" t="s">
        <v>37</v>
      </c>
      <c r="Y21" t="s">
        <v>62</v>
      </c>
      <c r="Z21" t="s">
        <v>676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CC9C-706C-4110-A7AD-1258F68B1927}">
  <dimension ref="A1:AB5"/>
  <sheetViews>
    <sheetView workbookViewId="0"/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11.75" bestFit="1" customWidth="1"/>
    <col min="5" max="5" width="20.5820312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7.25" bestFit="1" customWidth="1"/>
    <col min="10" max="10" width="8.83203125" bestFit="1" customWidth="1"/>
    <col min="11" max="11" width="20.83203125" bestFit="1" customWidth="1"/>
    <col min="12" max="12" width="19.08203125" bestFit="1" customWidth="1"/>
    <col min="13" max="13" width="21.08203125" bestFit="1" customWidth="1"/>
    <col min="14" max="14" width="12" bestFit="1" customWidth="1"/>
    <col min="15" max="15" width="21.08203125" bestFit="1" customWidth="1"/>
    <col min="16" max="16" width="14.5" bestFit="1" customWidth="1"/>
    <col min="17" max="17" width="6.75" bestFit="1" customWidth="1"/>
    <col min="18" max="18" width="6.83203125" bestFit="1" customWidth="1"/>
    <col min="19" max="19" width="7.83203125" bestFit="1" customWidth="1"/>
    <col min="20" max="20" width="22.5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17.75" bestFit="1" customWidth="1"/>
    <col min="26" max="26" width="9.83203125" bestFit="1" customWidth="1"/>
    <col min="27" max="27" width="11.83203125" bestFit="1" customWidth="1"/>
    <col min="28" max="28" width="12.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548</v>
      </c>
      <c r="Y1" t="s">
        <v>22</v>
      </c>
      <c r="Z1" t="s">
        <v>23</v>
      </c>
      <c r="AA1" t="s">
        <v>571</v>
      </c>
      <c r="AB1" t="s">
        <v>572</v>
      </c>
    </row>
    <row r="2" spans="1:28" x14ac:dyDescent="0.35">
      <c r="D2" t="s">
        <v>573</v>
      </c>
      <c r="F2" t="s">
        <v>578</v>
      </c>
      <c r="G2">
        <v>44805</v>
      </c>
      <c r="I2" t="s">
        <v>579</v>
      </c>
      <c r="J2" t="s">
        <v>123</v>
      </c>
      <c r="L2" t="s">
        <v>580</v>
      </c>
      <c r="N2" t="s">
        <v>581</v>
      </c>
      <c r="P2" t="s">
        <v>584</v>
      </c>
      <c r="R2">
        <v>9.5333000000000006</v>
      </c>
      <c r="S2">
        <v>9.5</v>
      </c>
      <c r="T2" t="s">
        <v>35</v>
      </c>
      <c r="U2" t="s">
        <v>36</v>
      </c>
      <c r="W2" t="s">
        <v>587</v>
      </c>
      <c r="X2" t="s">
        <v>588</v>
      </c>
      <c r="Y2" t="s">
        <v>589</v>
      </c>
      <c r="Z2">
        <v>913722594</v>
      </c>
      <c r="AA2">
        <v>1069</v>
      </c>
      <c r="AB2">
        <v>5118</v>
      </c>
    </row>
    <row r="3" spans="1:28" x14ac:dyDescent="0.35">
      <c r="D3" t="s">
        <v>574</v>
      </c>
      <c r="E3" t="s">
        <v>577</v>
      </c>
      <c r="F3" t="s">
        <v>27</v>
      </c>
      <c r="G3">
        <v>44805</v>
      </c>
      <c r="I3" t="s">
        <v>28</v>
      </c>
      <c r="J3" t="s">
        <v>123</v>
      </c>
      <c r="L3" t="s">
        <v>580</v>
      </c>
      <c r="N3" t="s">
        <v>582</v>
      </c>
      <c r="P3" t="s">
        <v>585</v>
      </c>
      <c r="R3">
        <v>9.8048000000000002</v>
      </c>
      <c r="S3">
        <v>37.017400000000002</v>
      </c>
      <c r="T3" t="s">
        <v>35</v>
      </c>
      <c r="U3" t="s">
        <v>36</v>
      </c>
      <c r="W3" t="s">
        <v>587</v>
      </c>
      <c r="X3" t="s">
        <v>588</v>
      </c>
      <c r="Y3" t="s">
        <v>589</v>
      </c>
      <c r="Z3">
        <v>913722594</v>
      </c>
      <c r="AA3">
        <v>461</v>
      </c>
      <c r="AB3">
        <v>4730</v>
      </c>
    </row>
    <row r="4" spans="1:28" x14ac:dyDescent="0.35">
      <c r="D4" t="s">
        <v>575</v>
      </c>
      <c r="F4" t="s">
        <v>27</v>
      </c>
      <c r="G4">
        <v>44805</v>
      </c>
      <c r="I4" t="s">
        <v>579</v>
      </c>
      <c r="J4" t="s">
        <v>123</v>
      </c>
      <c r="L4" t="s">
        <v>580</v>
      </c>
      <c r="N4" t="s">
        <v>583</v>
      </c>
      <c r="P4" t="s">
        <v>586</v>
      </c>
      <c r="R4">
        <v>9.5922999999999998</v>
      </c>
      <c r="S4">
        <v>37.014400000000002</v>
      </c>
      <c r="T4" t="s">
        <v>35</v>
      </c>
      <c r="U4" t="s">
        <v>36</v>
      </c>
      <c r="W4" t="s">
        <v>587</v>
      </c>
      <c r="X4" t="s">
        <v>588</v>
      </c>
      <c r="Y4" t="s">
        <v>589</v>
      </c>
      <c r="Z4">
        <v>913722594</v>
      </c>
      <c r="AA4">
        <v>1156</v>
      </c>
      <c r="AB4">
        <v>6115</v>
      </c>
    </row>
    <row r="5" spans="1:28" x14ac:dyDescent="0.35">
      <c r="D5" t="s">
        <v>576</v>
      </c>
      <c r="F5" t="s">
        <v>27</v>
      </c>
      <c r="G5">
        <v>44805</v>
      </c>
      <c r="I5" t="s">
        <v>579</v>
      </c>
      <c r="J5" t="s">
        <v>123</v>
      </c>
      <c r="L5" t="s">
        <v>580</v>
      </c>
      <c r="N5" t="s">
        <v>583</v>
      </c>
      <c r="P5" t="s">
        <v>576</v>
      </c>
      <c r="R5">
        <v>9.5922999999999998</v>
      </c>
      <c r="S5">
        <v>37.014400000000002</v>
      </c>
      <c r="T5" t="s">
        <v>35</v>
      </c>
      <c r="U5" t="s">
        <v>36</v>
      </c>
      <c r="W5" t="s">
        <v>587</v>
      </c>
      <c r="X5" t="s">
        <v>588</v>
      </c>
      <c r="Y5" t="s">
        <v>589</v>
      </c>
      <c r="Z5">
        <v>913722594</v>
      </c>
      <c r="AA5">
        <v>2500</v>
      </c>
      <c r="AB5">
        <v>12768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CAC9-F833-4221-B657-17DDCA5B1BBF}">
  <dimension ref="A1:AB18"/>
  <sheetViews>
    <sheetView workbookViewId="0">
      <selection activeCell="F16" sqref="F16"/>
    </sheetView>
  </sheetViews>
  <sheetFormatPr defaultRowHeight="15.5" x14ac:dyDescent="0.35"/>
  <cols>
    <col min="1" max="1" width="12.58203125" customWidth="1"/>
    <col min="2" max="2" width="17.5" customWidth="1"/>
    <col min="3" max="3" width="11.58203125" customWidth="1"/>
    <col min="4" max="4" width="10.58203125" customWidth="1"/>
    <col min="5" max="5" width="18.33203125" customWidth="1"/>
    <col min="6" max="6" width="10.75" customWidth="1"/>
    <col min="7" max="7" width="14.25" customWidth="1"/>
    <col min="8" max="8" width="15.58203125" customWidth="1"/>
    <col min="9" max="9" width="15.5" customWidth="1"/>
    <col min="11" max="11" width="16.83203125" customWidth="1"/>
    <col min="12" max="12" width="18.08203125" bestFit="1" customWidth="1"/>
    <col min="13" max="13" width="17" customWidth="1"/>
    <col min="14" max="14" width="11.25" bestFit="1" customWidth="1"/>
    <col min="15" max="15" width="17" customWidth="1"/>
    <col min="16" max="16" width="13.5" bestFit="1" customWidth="1"/>
    <col min="20" max="20" width="21" bestFit="1" customWidth="1"/>
    <col min="21" max="21" width="14.83203125" customWidth="1"/>
    <col min="22" max="22" width="15" customWidth="1"/>
    <col min="23" max="23" width="17.33203125" customWidth="1"/>
    <col min="24" max="24" width="20.75" customWidth="1"/>
    <col min="25" max="25" width="16" customWidth="1"/>
    <col min="26" max="26" width="16.08203125" customWidth="1"/>
    <col min="27" max="27" width="11.33203125" customWidth="1"/>
    <col min="28" max="28" width="12" customWidth="1"/>
  </cols>
  <sheetData>
    <row r="1" spans="1:28" x14ac:dyDescent="0.35">
      <c r="A1" s="39" t="s">
        <v>8</v>
      </c>
      <c r="B1" s="39" t="s">
        <v>10</v>
      </c>
      <c r="C1" s="40" t="s">
        <v>545</v>
      </c>
    </row>
    <row r="2" spans="1:28" x14ac:dyDescent="0.35">
      <c r="A2" s="39"/>
      <c r="B2" s="39"/>
      <c r="C2" s="40"/>
    </row>
    <row r="3" spans="1:28" x14ac:dyDescent="0.35">
      <c r="A3" s="7" t="s">
        <v>123</v>
      </c>
      <c r="B3" s="1" t="s">
        <v>580</v>
      </c>
      <c r="C3" s="8">
        <v>4</v>
      </c>
    </row>
    <row r="4" spans="1:28" x14ac:dyDescent="0.35">
      <c r="A4" s="7"/>
      <c r="B4" s="7"/>
      <c r="C4" s="8"/>
    </row>
    <row r="5" spans="1:28" x14ac:dyDescent="0.35">
      <c r="A5" s="7"/>
      <c r="B5" s="7"/>
      <c r="C5" s="8"/>
    </row>
    <row r="6" spans="1:28" x14ac:dyDescent="0.35">
      <c r="A6" s="7"/>
      <c r="B6" s="7"/>
      <c r="C6" s="8"/>
    </row>
    <row r="7" spans="1:28" x14ac:dyDescent="0.35">
      <c r="A7" s="7"/>
      <c r="B7" s="7"/>
      <c r="C7" s="8"/>
    </row>
    <row r="8" spans="1:28" x14ac:dyDescent="0.35">
      <c r="A8" s="7"/>
      <c r="B8" s="7"/>
      <c r="C8" s="8"/>
    </row>
    <row r="9" spans="1:28" x14ac:dyDescent="0.35">
      <c r="A9" s="7"/>
      <c r="B9" s="7"/>
      <c r="C9" s="8"/>
    </row>
    <row r="10" spans="1:28" x14ac:dyDescent="0.35">
      <c r="A10" s="37" t="s">
        <v>547</v>
      </c>
      <c r="B10" s="37"/>
      <c r="C10" s="9">
        <v>20</v>
      </c>
    </row>
    <row r="12" spans="1:28" x14ac:dyDescent="0.35">
      <c r="A12" s="38" t="s">
        <v>546</v>
      </c>
      <c r="B12" s="38"/>
      <c r="C12" s="38"/>
      <c r="D12" s="38"/>
    </row>
    <row r="13" spans="1:28" x14ac:dyDescent="0.35">
      <c r="A13" s="38"/>
      <c r="B13" s="38"/>
      <c r="C13" s="38"/>
      <c r="D13" s="38"/>
    </row>
    <row r="14" spans="1:28" ht="29" x14ac:dyDescent="0.35">
      <c r="A14" s="13" t="s">
        <v>0</v>
      </c>
      <c r="B14" s="14" t="s">
        <v>1</v>
      </c>
      <c r="C14" s="14" t="s">
        <v>2</v>
      </c>
      <c r="D14" s="14" t="s">
        <v>3</v>
      </c>
      <c r="E14" s="14" t="s">
        <v>4</v>
      </c>
      <c r="F14" s="15" t="s">
        <v>5</v>
      </c>
      <c r="G14" s="16" t="s">
        <v>6</v>
      </c>
      <c r="H14" s="16" t="s">
        <v>552</v>
      </c>
      <c r="I14" s="14" t="s">
        <v>7</v>
      </c>
      <c r="J14" s="17" t="s">
        <v>8</v>
      </c>
      <c r="K14" s="18" t="s">
        <v>9</v>
      </c>
      <c r="L14" s="17" t="s">
        <v>10</v>
      </c>
      <c r="M14" s="18" t="s">
        <v>11</v>
      </c>
      <c r="N14" s="17" t="s">
        <v>12</v>
      </c>
      <c r="O14" s="18" t="s">
        <v>13</v>
      </c>
      <c r="P14" s="17" t="s">
        <v>14</v>
      </c>
      <c r="Q14" s="17" t="s">
        <v>15</v>
      </c>
      <c r="R14" s="19" t="s">
        <v>16</v>
      </c>
      <c r="S14" s="19" t="s">
        <v>17</v>
      </c>
      <c r="T14" s="20" t="s">
        <v>18</v>
      </c>
      <c r="U14" s="21" t="s">
        <v>19</v>
      </c>
      <c r="V14" s="21" t="s">
        <v>20</v>
      </c>
      <c r="W14" s="22" t="s">
        <v>560</v>
      </c>
      <c r="X14" s="22" t="s">
        <v>548</v>
      </c>
      <c r="Y14" s="21" t="s">
        <v>22</v>
      </c>
      <c r="Z14" s="21" t="s">
        <v>23</v>
      </c>
      <c r="AA14" s="23" t="s">
        <v>571</v>
      </c>
      <c r="AB14" s="24" t="s">
        <v>572</v>
      </c>
    </row>
    <row r="15" spans="1:28" x14ac:dyDescent="0.35">
      <c r="A15" s="11"/>
      <c r="B15" s="1"/>
      <c r="C15" s="1"/>
      <c r="D15" s="1" t="s">
        <v>573</v>
      </c>
      <c r="E15" s="1"/>
      <c r="F15" s="1" t="s">
        <v>549</v>
      </c>
      <c r="G15" s="2">
        <v>44805</v>
      </c>
      <c r="H15" s="2"/>
      <c r="I15" s="1" t="s">
        <v>579</v>
      </c>
      <c r="J15" s="1" t="s">
        <v>123</v>
      </c>
      <c r="K15" s="1"/>
      <c r="L15" s="1" t="s">
        <v>580</v>
      </c>
      <c r="M15" s="1"/>
      <c r="N15" s="1" t="s">
        <v>581</v>
      </c>
      <c r="O15" s="1"/>
      <c r="P15" s="1" t="s">
        <v>584</v>
      </c>
      <c r="Q15" s="1"/>
      <c r="R15" s="1">
        <v>9.5333000000000006</v>
      </c>
      <c r="S15" s="1">
        <v>9.5</v>
      </c>
      <c r="T15" s="1" t="s">
        <v>35</v>
      </c>
      <c r="U15" s="3" t="s">
        <v>36</v>
      </c>
      <c r="V15" s="3"/>
      <c r="W15" s="3" t="s">
        <v>587</v>
      </c>
      <c r="X15" s="10" t="s">
        <v>588</v>
      </c>
      <c r="Y15" s="5" t="s">
        <v>589</v>
      </c>
      <c r="Z15" s="6">
        <v>913722594</v>
      </c>
      <c r="AA15" s="4">
        <v>1069</v>
      </c>
      <c r="AB15" s="12">
        <v>5118</v>
      </c>
    </row>
    <row r="16" spans="1:28" x14ac:dyDescent="0.35">
      <c r="A16" s="11"/>
      <c r="B16" s="1"/>
      <c r="C16" s="1"/>
      <c r="D16" s="1" t="s">
        <v>574</v>
      </c>
      <c r="E16" s="1" t="s">
        <v>577</v>
      </c>
      <c r="F16" s="1" t="s">
        <v>549</v>
      </c>
      <c r="G16" s="2">
        <v>44805</v>
      </c>
      <c r="H16" s="2"/>
      <c r="I16" s="1" t="s">
        <v>28</v>
      </c>
      <c r="J16" s="1" t="s">
        <v>123</v>
      </c>
      <c r="K16" s="1"/>
      <c r="L16" s="1" t="s">
        <v>580</v>
      </c>
      <c r="M16" s="1"/>
      <c r="N16" s="1" t="s">
        <v>582</v>
      </c>
      <c r="O16" s="1"/>
      <c r="P16" s="1" t="s">
        <v>585</v>
      </c>
      <c r="Q16" s="1"/>
      <c r="R16" s="1">
        <v>9.8048000000000002</v>
      </c>
      <c r="S16" s="1">
        <v>37.017400000000002</v>
      </c>
      <c r="T16" s="1" t="s">
        <v>35</v>
      </c>
      <c r="U16" s="3" t="s">
        <v>36</v>
      </c>
      <c r="V16" s="3"/>
      <c r="W16" s="3" t="s">
        <v>587</v>
      </c>
      <c r="X16" s="10" t="s">
        <v>588</v>
      </c>
      <c r="Y16" s="5" t="s">
        <v>589</v>
      </c>
      <c r="Z16" s="6">
        <v>913722594</v>
      </c>
      <c r="AA16" s="4">
        <v>461</v>
      </c>
      <c r="AB16" s="12">
        <v>4730</v>
      </c>
    </row>
    <row r="17" spans="1:28" x14ac:dyDescent="0.35">
      <c r="A17" s="11"/>
      <c r="B17" s="1"/>
      <c r="C17" s="1"/>
      <c r="D17" s="1" t="s">
        <v>575</v>
      </c>
      <c r="E17" s="1"/>
      <c r="F17" s="1" t="s">
        <v>549</v>
      </c>
      <c r="G17" s="2">
        <v>44805</v>
      </c>
      <c r="H17" s="2"/>
      <c r="I17" s="1" t="s">
        <v>579</v>
      </c>
      <c r="J17" s="1" t="s">
        <v>123</v>
      </c>
      <c r="K17" s="1"/>
      <c r="L17" s="1" t="s">
        <v>580</v>
      </c>
      <c r="M17" s="1"/>
      <c r="N17" s="1" t="s">
        <v>583</v>
      </c>
      <c r="O17" s="1"/>
      <c r="P17" s="1" t="s">
        <v>586</v>
      </c>
      <c r="Q17" s="1"/>
      <c r="R17" s="1">
        <v>9.5922999999999998</v>
      </c>
      <c r="S17" s="1">
        <v>37.014400000000002</v>
      </c>
      <c r="T17" s="1" t="s">
        <v>35</v>
      </c>
      <c r="U17" s="3" t="s">
        <v>36</v>
      </c>
      <c r="V17" s="3"/>
      <c r="W17" s="3" t="s">
        <v>587</v>
      </c>
      <c r="X17" s="10" t="s">
        <v>588</v>
      </c>
      <c r="Y17" s="5" t="s">
        <v>589</v>
      </c>
      <c r="Z17" s="6">
        <v>913722594</v>
      </c>
      <c r="AA17" s="4">
        <v>1156</v>
      </c>
      <c r="AB17" s="12">
        <v>6115</v>
      </c>
    </row>
    <row r="18" spans="1:28" x14ac:dyDescent="0.35">
      <c r="A18" s="25"/>
      <c r="B18" s="26"/>
      <c r="C18" s="26"/>
      <c r="D18" s="26" t="s">
        <v>576</v>
      </c>
      <c r="E18" s="26"/>
      <c r="F18" s="26" t="s">
        <v>549</v>
      </c>
      <c r="G18" s="27">
        <v>44805</v>
      </c>
      <c r="H18" s="27"/>
      <c r="I18" s="26" t="s">
        <v>579</v>
      </c>
      <c r="J18" s="26" t="s">
        <v>123</v>
      </c>
      <c r="K18" s="26"/>
      <c r="L18" s="26" t="s">
        <v>580</v>
      </c>
      <c r="M18" s="26"/>
      <c r="N18" s="26" t="s">
        <v>583</v>
      </c>
      <c r="O18" s="26"/>
      <c r="P18" s="26" t="s">
        <v>576</v>
      </c>
      <c r="Q18" s="26"/>
      <c r="R18" s="26">
        <v>9.5922999999999998</v>
      </c>
      <c r="S18" s="26">
        <v>37.014400000000002</v>
      </c>
      <c r="T18" s="26" t="s">
        <v>35</v>
      </c>
      <c r="U18" s="27" t="s">
        <v>36</v>
      </c>
      <c r="V18" s="27"/>
      <c r="W18" s="28" t="s">
        <v>587</v>
      </c>
      <c r="X18" s="33" t="s">
        <v>588</v>
      </c>
      <c r="Y18" s="27" t="s">
        <v>589</v>
      </c>
      <c r="Z18" s="30">
        <v>913722594</v>
      </c>
      <c r="AA18" s="31">
        <v>2500</v>
      </c>
      <c r="AB18" s="32">
        <v>12768</v>
      </c>
    </row>
  </sheetData>
  <mergeCells count="5">
    <mergeCell ref="A1:A2"/>
    <mergeCell ref="B1:B2"/>
    <mergeCell ref="C1:C2"/>
    <mergeCell ref="A10:B10"/>
    <mergeCell ref="A12:D13"/>
  </mergeCells>
  <conditionalFormatting sqref="A15:S18">
    <cfRule type="expression" dxfId="12" priority="2">
      <formula>$F15="Closed"</formula>
    </cfRule>
  </conditionalFormatting>
  <conditionalFormatting sqref="B3">
    <cfRule type="expression" dxfId="11" priority="1">
      <formula>$F3="Closed"</formula>
    </cfRule>
  </conditionalFormatting>
  <conditionalFormatting sqref="C14:C18">
    <cfRule type="duplicateValues" dxfId="10" priority="155"/>
    <cfRule type="duplicateValues" dxfId="9" priority="156"/>
    <cfRule type="duplicateValues" dxfId="8" priority="157"/>
  </conditionalFormatting>
  <conditionalFormatting sqref="C15:C18">
    <cfRule type="duplicateValues" dxfId="7" priority="158"/>
  </conditionalFormatting>
  <conditionalFormatting sqref="F15:F18">
    <cfRule type="containsText" dxfId="6" priority="3" operator="containsText" text="Closed">
      <formula>NOT(ISERROR(SEARCH("Closed",F15)))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0836-B685-4E7F-8E13-560B42451849}">
  <dimension ref="A1:AB33"/>
  <sheetViews>
    <sheetView workbookViewId="0"/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30.58203125" bestFit="1" customWidth="1"/>
    <col min="5" max="5" width="49.8320312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7.25" bestFit="1" customWidth="1"/>
    <col min="10" max="10" width="8.83203125" bestFit="1" customWidth="1"/>
    <col min="11" max="11" width="20.83203125" bestFit="1" customWidth="1"/>
    <col min="12" max="12" width="13" bestFit="1" customWidth="1"/>
    <col min="13" max="13" width="21.08203125" bestFit="1" customWidth="1"/>
    <col min="14" max="14" width="23.08203125" bestFit="1" customWidth="1"/>
    <col min="15" max="15" width="21.08203125" bestFit="1" customWidth="1"/>
    <col min="16" max="16" width="18.08203125" bestFit="1" customWidth="1"/>
    <col min="17" max="17" width="6.83203125" bestFit="1" customWidth="1"/>
    <col min="18" max="19" width="11.83203125" bestFit="1" customWidth="1"/>
    <col min="20" max="20" width="22.5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18.58203125" bestFit="1" customWidth="1"/>
    <col min="26" max="26" width="10.83203125" bestFit="1" customWidth="1"/>
    <col min="27" max="27" width="11.83203125" bestFit="1" customWidth="1"/>
    <col min="28" max="28" width="12.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548</v>
      </c>
      <c r="Y1" t="s">
        <v>22</v>
      </c>
      <c r="Z1" t="s">
        <v>23</v>
      </c>
      <c r="AA1" t="s">
        <v>571</v>
      </c>
      <c r="AB1" t="s">
        <v>572</v>
      </c>
    </row>
    <row r="2" spans="1:28" x14ac:dyDescent="0.35">
      <c r="D2" t="s">
        <v>590</v>
      </c>
      <c r="F2" t="s">
        <v>27</v>
      </c>
      <c r="G2">
        <v>45421</v>
      </c>
      <c r="I2" t="s">
        <v>369</v>
      </c>
      <c r="J2" t="s">
        <v>140</v>
      </c>
      <c r="K2" t="s">
        <v>141</v>
      </c>
      <c r="L2" t="s">
        <v>146</v>
      </c>
      <c r="M2" t="s">
        <v>147</v>
      </c>
      <c r="N2" t="s">
        <v>174</v>
      </c>
      <c r="O2" t="s">
        <v>175</v>
      </c>
      <c r="P2" t="s">
        <v>591</v>
      </c>
      <c r="Q2" t="s">
        <v>177</v>
      </c>
      <c r="R2">
        <v>14.099995</v>
      </c>
      <c r="S2">
        <v>38.229236</v>
      </c>
      <c r="T2" t="s">
        <v>35</v>
      </c>
      <c r="U2" t="s">
        <v>36</v>
      </c>
      <c r="W2" t="s">
        <v>54</v>
      </c>
      <c r="X2" t="s">
        <v>592</v>
      </c>
      <c r="Y2" t="s">
        <v>593</v>
      </c>
      <c r="Z2" t="s">
        <v>594</v>
      </c>
      <c r="AA2">
        <v>217</v>
      </c>
      <c r="AB2">
        <v>1159</v>
      </c>
    </row>
    <row r="3" spans="1:28" x14ac:dyDescent="0.35">
      <c r="A3" t="s">
        <v>170</v>
      </c>
      <c r="B3" t="s">
        <v>171</v>
      </c>
      <c r="C3" t="s">
        <v>172</v>
      </c>
      <c r="D3" t="s">
        <v>173</v>
      </c>
      <c r="E3" t="s">
        <v>126</v>
      </c>
      <c r="F3" t="s">
        <v>549</v>
      </c>
      <c r="G3">
        <v>44378</v>
      </c>
      <c r="H3">
        <v>45571</v>
      </c>
      <c r="I3" t="s">
        <v>28</v>
      </c>
      <c r="J3" t="s">
        <v>140</v>
      </c>
      <c r="K3" t="s">
        <v>141</v>
      </c>
      <c r="L3" t="s">
        <v>146</v>
      </c>
      <c r="M3" t="s">
        <v>147</v>
      </c>
      <c r="N3" t="s">
        <v>174</v>
      </c>
      <c r="O3" t="s">
        <v>175</v>
      </c>
      <c r="P3" t="s">
        <v>176</v>
      </c>
      <c r="Q3" t="s">
        <v>177</v>
      </c>
      <c r="R3">
        <v>14.312010519999999</v>
      </c>
      <c r="S3">
        <v>38.173212249999999</v>
      </c>
      <c r="T3" t="s">
        <v>35</v>
      </c>
      <c r="U3" t="s">
        <v>36</v>
      </c>
      <c r="W3" t="s">
        <v>54</v>
      </c>
      <c r="X3" t="s">
        <v>592</v>
      </c>
      <c r="Y3" t="s">
        <v>593</v>
      </c>
      <c r="Z3" t="s">
        <v>594</v>
      </c>
    </row>
    <row r="4" spans="1:28" x14ac:dyDescent="0.35">
      <c r="A4" t="s">
        <v>209</v>
      </c>
      <c r="B4" t="s">
        <v>210</v>
      </c>
      <c r="C4" t="s">
        <v>211</v>
      </c>
      <c r="D4" t="s">
        <v>212</v>
      </c>
      <c r="F4" t="s">
        <v>27</v>
      </c>
      <c r="G4">
        <v>44256</v>
      </c>
      <c r="I4" t="s">
        <v>28</v>
      </c>
      <c r="J4" t="s">
        <v>140</v>
      </c>
      <c r="K4" t="s">
        <v>141</v>
      </c>
      <c r="L4" t="s">
        <v>145</v>
      </c>
      <c r="M4" t="s">
        <v>183</v>
      </c>
      <c r="N4" t="s">
        <v>250</v>
      </c>
      <c r="O4" t="s">
        <v>538</v>
      </c>
      <c r="P4" t="s">
        <v>213</v>
      </c>
      <c r="Q4" t="s">
        <v>595</v>
      </c>
      <c r="R4">
        <v>13.5246449</v>
      </c>
      <c r="S4">
        <v>39.456932000000002</v>
      </c>
      <c r="T4" t="s">
        <v>35</v>
      </c>
      <c r="U4" t="s">
        <v>36</v>
      </c>
      <c r="W4" t="s">
        <v>54</v>
      </c>
      <c r="X4" t="s">
        <v>592</v>
      </c>
      <c r="Y4" t="s">
        <v>593</v>
      </c>
      <c r="Z4" t="s">
        <v>594</v>
      </c>
      <c r="AA4">
        <v>263</v>
      </c>
      <c r="AB4">
        <v>1109</v>
      </c>
    </row>
    <row r="5" spans="1:28" x14ac:dyDescent="0.35">
      <c r="D5" t="s">
        <v>596</v>
      </c>
      <c r="F5" t="s">
        <v>27</v>
      </c>
      <c r="G5">
        <v>45538</v>
      </c>
      <c r="I5" t="s">
        <v>550</v>
      </c>
      <c r="J5" t="s">
        <v>140</v>
      </c>
      <c r="L5" t="s">
        <v>145</v>
      </c>
      <c r="N5" t="s">
        <v>597</v>
      </c>
      <c r="Q5" t="s">
        <v>595</v>
      </c>
      <c r="R5">
        <v>13.48</v>
      </c>
      <c r="S5">
        <v>39.457500000000003</v>
      </c>
      <c r="T5" t="s">
        <v>35</v>
      </c>
      <c r="U5" t="s">
        <v>36</v>
      </c>
      <c r="W5" t="s">
        <v>54</v>
      </c>
      <c r="X5" t="s">
        <v>592</v>
      </c>
      <c r="Y5" t="s">
        <v>593</v>
      </c>
      <c r="Z5" t="s">
        <v>594</v>
      </c>
      <c r="AB5">
        <v>898</v>
      </c>
    </row>
    <row r="6" spans="1:28" x14ac:dyDescent="0.35">
      <c r="D6" t="s">
        <v>598</v>
      </c>
      <c r="F6" t="s">
        <v>27</v>
      </c>
      <c r="G6">
        <v>45211</v>
      </c>
      <c r="I6" t="s">
        <v>550</v>
      </c>
      <c r="J6" t="s">
        <v>140</v>
      </c>
      <c r="K6" t="s">
        <v>141</v>
      </c>
      <c r="L6" t="s">
        <v>142</v>
      </c>
      <c r="M6" t="s">
        <v>143</v>
      </c>
      <c r="N6" t="s">
        <v>510</v>
      </c>
      <c r="O6" t="s">
        <v>511</v>
      </c>
      <c r="P6" t="s">
        <v>599</v>
      </c>
      <c r="Q6" t="s">
        <v>177</v>
      </c>
      <c r="R6">
        <v>14.161250000000001</v>
      </c>
      <c r="S6">
        <v>38.90166</v>
      </c>
      <c r="T6" t="s">
        <v>35</v>
      </c>
      <c r="U6" t="s">
        <v>36</v>
      </c>
      <c r="W6" t="s">
        <v>54</v>
      </c>
      <c r="X6" t="s">
        <v>592</v>
      </c>
      <c r="Y6" t="s">
        <v>593</v>
      </c>
      <c r="Z6" t="s">
        <v>594</v>
      </c>
      <c r="AB6">
        <v>5447</v>
      </c>
    </row>
    <row r="7" spans="1:28" x14ac:dyDescent="0.35">
      <c r="A7" t="s">
        <v>214</v>
      </c>
      <c r="B7" t="s">
        <v>215</v>
      </c>
      <c r="C7" t="s">
        <v>216</v>
      </c>
      <c r="D7" t="s">
        <v>217</v>
      </c>
      <c r="F7" t="s">
        <v>27</v>
      </c>
      <c r="G7">
        <v>44673</v>
      </c>
      <c r="I7" t="s">
        <v>53</v>
      </c>
      <c r="J7" t="s">
        <v>140</v>
      </c>
      <c r="K7" t="s">
        <v>141</v>
      </c>
      <c r="L7" t="s">
        <v>142</v>
      </c>
      <c r="M7" t="s">
        <v>143</v>
      </c>
      <c r="N7" t="s">
        <v>218</v>
      </c>
      <c r="O7" t="s">
        <v>219</v>
      </c>
      <c r="P7" t="s">
        <v>220</v>
      </c>
      <c r="Q7" t="s">
        <v>218</v>
      </c>
      <c r="R7">
        <v>14.1584740999999</v>
      </c>
      <c r="S7">
        <v>38.857802700000001</v>
      </c>
      <c r="T7" t="s">
        <v>35</v>
      </c>
      <c r="U7" t="s">
        <v>36</v>
      </c>
      <c r="W7" t="s">
        <v>54</v>
      </c>
      <c r="X7" t="s">
        <v>592</v>
      </c>
      <c r="Y7" t="s">
        <v>593</v>
      </c>
      <c r="Z7" t="s">
        <v>594</v>
      </c>
      <c r="AA7">
        <v>201</v>
      </c>
      <c r="AB7">
        <v>1152</v>
      </c>
    </row>
    <row r="8" spans="1:28" x14ac:dyDescent="0.35">
      <c r="A8" t="s">
        <v>414</v>
      </c>
      <c r="B8" t="s">
        <v>415</v>
      </c>
      <c r="C8" t="s">
        <v>416</v>
      </c>
      <c r="D8" t="s">
        <v>600</v>
      </c>
      <c r="E8" t="s">
        <v>417</v>
      </c>
      <c r="F8" t="s">
        <v>27</v>
      </c>
      <c r="G8">
        <v>44673</v>
      </c>
      <c r="I8" t="s">
        <v>28</v>
      </c>
      <c r="J8" t="s">
        <v>140</v>
      </c>
      <c r="K8" t="s">
        <v>141</v>
      </c>
      <c r="L8" t="s">
        <v>146</v>
      </c>
      <c r="M8" t="s">
        <v>147</v>
      </c>
      <c r="N8" t="s">
        <v>564</v>
      </c>
      <c r="O8" t="s">
        <v>190</v>
      </c>
      <c r="P8" t="s">
        <v>163</v>
      </c>
      <c r="Q8" t="s">
        <v>177</v>
      </c>
      <c r="R8">
        <v>14.1088077999999</v>
      </c>
      <c r="S8">
        <v>38.285579800000001</v>
      </c>
      <c r="T8" t="s">
        <v>35</v>
      </c>
      <c r="U8" t="s">
        <v>36</v>
      </c>
      <c r="W8" t="s">
        <v>54</v>
      </c>
      <c r="X8" t="s">
        <v>592</v>
      </c>
      <c r="Y8" t="s">
        <v>593</v>
      </c>
      <c r="Z8" t="s">
        <v>594</v>
      </c>
      <c r="AA8">
        <v>275</v>
      </c>
      <c r="AB8">
        <v>1255</v>
      </c>
    </row>
    <row r="9" spans="1:28" x14ac:dyDescent="0.35">
      <c r="A9" t="s">
        <v>257</v>
      </c>
      <c r="B9" t="s">
        <v>258</v>
      </c>
      <c r="C9" t="s">
        <v>259</v>
      </c>
      <c r="D9" t="s">
        <v>260</v>
      </c>
      <c r="E9" t="s">
        <v>261</v>
      </c>
      <c r="F9" t="s">
        <v>27</v>
      </c>
      <c r="G9">
        <v>44460</v>
      </c>
      <c r="I9" t="s">
        <v>28</v>
      </c>
      <c r="J9" t="s">
        <v>140</v>
      </c>
      <c r="K9" t="s">
        <v>141</v>
      </c>
      <c r="L9" t="s">
        <v>262</v>
      </c>
      <c r="M9" t="s">
        <v>263</v>
      </c>
      <c r="N9" t="s">
        <v>264</v>
      </c>
      <c r="O9" t="s">
        <v>265</v>
      </c>
      <c r="P9" t="s">
        <v>72</v>
      </c>
      <c r="Q9" t="s">
        <v>266</v>
      </c>
      <c r="R9">
        <v>14.164199999999999</v>
      </c>
      <c r="S9">
        <v>39.271700000000003</v>
      </c>
      <c r="T9" t="s">
        <v>35</v>
      </c>
      <c r="U9" t="s">
        <v>36</v>
      </c>
      <c r="W9" t="s">
        <v>54</v>
      </c>
      <c r="X9" t="s">
        <v>592</v>
      </c>
      <c r="Y9" t="s">
        <v>593</v>
      </c>
      <c r="Z9" t="s">
        <v>594</v>
      </c>
      <c r="AA9">
        <v>54</v>
      </c>
      <c r="AB9">
        <v>107</v>
      </c>
    </row>
    <row r="10" spans="1:28" x14ac:dyDescent="0.35">
      <c r="A10" t="s">
        <v>284</v>
      </c>
      <c r="B10" t="s">
        <v>285</v>
      </c>
      <c r="C10" t="s">
        <v>286</v>
      </c>
      <c r="D10" t="s">
        <v>287</v>
      </c>
      <c r="E10" t="s">
        <v>288</v>
      </c>
      <c r="F10" t="s">
        <v>27</v>
      </c>
      <c r="G10">
        <v>44378</v>
      </c>
      <c r="I10" t="s">
        <v>28</v>
      </c>
      <c r="J10" t="s">
        <v>140</v>
      </c>
      <c r="K10" t="s">
        <v>141</v>
      </c>
      <c r="L10" t="s">
        <v>142</v>
      </c>
      <c r="M10" t="s">
        <v>143</v>
      </c>
      <c r="N10" t="s">
        <v>218</v>
      </c>
      <c r="O10" t="s">
        <v>219</v>
      </c>
      <c r="P10" t="s">
        <v>125</v>
      </c>
      <c r="Q10" t="s">
        <v>218</v>
      </c>
      <c r="R10">
        <v>14.153270300000001</v>
      </c>
      <c r="S10">
        <v>38.897542999999899</v>
      </c>
      <c r="T10" t="s">
        <v>35</v>
      </c>
      <c r="U10" t="s">
        <v>36</v>
      </c>
      <c r="W10" t="s">
        <v>54</v>
      </c>
      <c r="X10" t="s">
        <v>592</v>
      </c>
      <c r="Y10" t="s">
        <v>593</v>
      </c>
      <c r="Z10" t="s">
        <v>594</v>
      </c>
      <c r="AA10">
        <v>284</v>
      </c>
      <c r="AB10">
        <v>1042</v>
      </c>
    </row>
    <row r="11" spans="1:28" x14ac:dyDescent="0.35">
      <c r="D11" t="s">
        <v>601</v>
      </c>
      <c r="F11" t="s">
        <v>27</v>
      </c>
      <c r="G11">
        <v>45536</v>
      </c>
      <c r="I11" t="s">
        <v>550</v>
      </c>
      <c r="J11" t="s">
        <v>140</v>
      </c>
      <c r="K11" t="s">
        <v>141</v>
      </c>
      <c r="L11" t="s">
        <v>146</v>
      </c>
      <c r="M11" t="s">
        <v>147</v>
      </c>
      <c r="N11" t="s">
        <v>521</v>
      </c>
      <c r="Q11" t="s">
        <v>177</v>
      </c>
      <c r="R11">
        <v>13.9411</v>
      </c>
      <c r="S11">
        <v>38.181890000000003</v>
      </c>
      <c r="T11" t="s">
        <v>35</v>
      </c>
      <c r="U11" t="s">
        <v>36</v>
      </c>
      <c r="W11" t="s">
        <v>54</v>
      </c>
      <c r="X11" t="s">
        <v>592</v>
      </c>
      <c r="Y11" t="s">
        <v>593</v>
      </c>
      <c r="Z11" t="s">
        <v>594</v>
      </c>
      <c r="AB11">
        <v>22273</v>
      </c>
    </row>
    <row r="12" spans="1:28" x14ac:dyDescent="0.35">
      <c r="A12" t="s">
        <v>517</v>
      </c>
      <c r="B12" t="s">
        <v>518</v>
      </c>
      <c r="C12" t="s">
        <v>519</v>
      </c>
      <c r="D12" t="s">
        <v>520</v>
      </c>
      <c r="F12" t="s">
        <v>27</v>
      </c>
      <c r="G12">
        <v>45017</v>
      </c>
      <c r="I12" t="s">
        <v>28</v>
      </c>
      <c r="J12" t="s">
        <v>140</v>
      </c>
      <c r="K12" t="s">
        <v>141</v>
      </c>
      <c r="L12" t="s">
        <v>146</v>
      </c>
      <c r="M12" t="s">
        <v>147</v>
      </c>
      <c r="N12" t="s">
        <v>521</v>
      </c>
      <c r="O12" t="s">
        <v>293</v>
      </c>
      <c r="P12" t="s">
        <v>495</v>
      </c>
      <c r="Q12" t="s">
        <v>177</v>
      </c>
      <c r="R12">
        <v>13.942143700000001</v>
      </c>
      <c r="S12">
        <v>38.183551199999997</v>
      </c>
      <c r="T12" t="s">
        <v>35</v>
      </c>
      <c r="U12" t="s">
        <v>36</v>
      </c>
      <c r="W12" t="s">
        <v>54</v>
      </c>
      <c r="X12" t="s">
        <v>592</v>
      </c>
      <c r="Y12" t="s">
        <v>593</v>
      </c>
      <c r="Z12" t="s">
        <v>594</v>
      </c>
      <c r="AA12">
        <v>252</v>
      </c>
      <c r="AB12">
        <v>985</v>
      </c>
    </row>
    <row r="13" spans="1:28" x14ac:dyDescent="0.35">
      <c r="A13" t="s">
        <v>289</v>
      </c>
      <c r="B13" t="s">
        <v>290</v>
      </c>
      <c r="C13" t="s">
        <v>291</v>
      </c>
      <c r="D13" t="s">
        <v>292</v>
      </c>
      <c r="E13" t="s">
        <v>126</v>
      </c>
      <c r="F13" t="s">
        <v>27</v>
      </c>
      <c r="G13">
        <v>44805</v>
      </c>
      <c r="I13" t="s">
        <v>28</v>
      </c>
      <c r="J13" t="s">
        <v>140</v>
      </c>
      <c r="K13" t="s">
        <v>141</v>
      </c>
      <c r="L13" t="s">
        <v>146</v>
      </c>
      <c r="M13" t="s">
        <v>147</v>
      </c>
      <c r="N13" t="s">
        <v>602</v>
      </c>
      <c r="O13" t="s">
        <v>293</v>
      </c>
      <c r="P13" t="s">
        <v>124</v>
      </c>
      <c r="Q13" t="s">
        <v>177</v>
      </c>
      <c r="R13">
        <v>13.939451500000001</v>
      </c>
      <c r="S13">
        <v>38.182758300000003</v>
      </c>
      <c r="T13" t="s">
        <v>35</v>
      </c>
      <c r="U13" t="s">
        <v>36</v>
      </c>
      <c r="W13" t="s">
        <v>54</v>
      </c>
      <c r="X13" t="s">
        <v>592</v>
      </c>
      <c r="Y13" t="s">
        <v>593</v>
      </c>
      <c r="Z13" t="s">
        <v>594</v>
      </c>
      <c r="AA13">
        <v>117</v>
      </c>
      <c r="AB13">
        <v>495</v>
      </c>
    </row>
    <row r="14" spans="1:28" x14ac:dyDescent="0.35">
      <c r="A14" t="s">
        <v>522</v>
      </c>
      <c r="B14" t="s">
        <v>523</v>
      </c>
      <c r="C14" t="s">
        <v>524</v>
      </c>
      <c r="D14" t="s">
        <v>525</v>
      </c>
      <c r="E14" t="s">
        <v>526</v>
      </c>
      <c r="F14" t="s">
        <v>27</v>
      </c>
      <c r="G14">
        <v>45065</v>
      </c>
      <c r="I14" t="s">
        <v>28</v>
      </c>
      <c r="J14" t="s">
        <v>140</v>
      </c>
      <c r="K14" t="s">
        <v>141</v>
      </c>
      <c r="L14" t="s">
        <v>146</v>
      </c>
      <c r="M14" t="s">
        <v>147</v>
      </c>
      <c r="N14" t="s">
        <v>200</v>
      </c>
      <c r="O14" t="s">
        <v>201</v>
      </c>
      <c r="P14" t="s">
        <v>202</v>
      </c>
      <c r="Q14" t="s">
        <v>177</v>
      </c>
      <c r="R14">
        <v>14.418660900000001</v>
      </c>
      <c r="S14">
        <v>38.189192800000001</v>
      </c>
      <c r="T14" t="s">
        <v>35</v>
      </c>
      <c r="U14" t="s">
        <v>36</v>
      </c>
      <c r="W14" t="s">
        <v>54</v>
      </c>
      <c r="X14" t="s">
        <v>592</v>
      </c>
      <c r="Y14" t="s">
        <v>593</v>
      </c>
      <c r="Z14" t="s">
        <v>594</v>
      </c>
      <c r="AA14">
        <v>155</v>
      </c>
      <c r="AB14">
        <v>811</v>
      </c>
    </row>
    <row r="15" spans="1:28" x14ac:dyDescent="0.35">
      <c r="A15" t="s">
        <v>312</v>
      </c>
      <c r="B15" t="s">
        <v>313</v>
      </c>
      <c r="C15" t="s">
        <v>314</v>
      </c>
      <c r="D15" t="s">
        <v>315</v>
      </c>
      <c r="F15" t="s">
        <v>27</v>
      </c>
      <c r="G15">
        <v>44287</v>
      </c>
      <c r="I15" t="s">
        <v>28</v>
      </c>
      <c r="J15" t="s">
        <v>140</v>
      </c>
      <c r="K15" t="s">
        <v>141</v>
      </c>
      <c r="L15" t="s">
        <v>146</v>
      </c>
      <c r="M15" t="s">
        <v>147</v>
      </c>
      <c r="N15" t="s">
        <v>564</v>
      </c>
      <c r="O15" t="s">
        <v>190</v>
      </c>
      <c r="P15" t="s">
        <v>125</v>
      </c>
      <c r="Q15" t="s">
        <v>177</v>
      </c>
      <c r="R15">
        <v>14.1061725</v>
      </c>
      <c r="S15">
        <v>38.302653999999897</v>
      </c>
      <c r="T15" t="s">
        <v>35</v>
      </c>
      <c r="U15" t="s">
        <v>36</v>
      </c>
      <c r="W15" t="s">
        <v>54</v>
      </c>
      <c r="X15" t="s">
        <v>592</v>
      </c>
      <c r="Y15" t="s">
        <v>593</v>
      </c>
      <c r="Z15" t="s">
        <v>594</v>
      </c>
      <c r="AA15">
        <v>1821</v>
      </c>
      <c r="AB15">
        <v>7194</v>
      </c>
    </row>
    <row r="16" spans="1:28" x14ac:dyDescent="0.35">
      <c r="A16" t="s">
        <v>316</v>
      </c>
      <c r="B16" t="s">
        <v>317</v>
      </c>
      <c r="C16" t="s">
        <v>318</v>
      </c>
      <c r="D16" t="s">
        <v>319</v>
      </c>
      <c r="F16" t="s">
        <v>27</v>
      </c>
      <c r="G16">
        <v>44348</v>
      </c>
      <c r="I16" t="s">
        <v>28</v>
      </c>
      <c r="J16" t="s">
        <v>140</v>
      </c>
      <c r="K16" t="s">
        <v>141</v>
      </c>
      <c r="L16" t="s">
        <v>146</v>
      </c>
      <c r="M16" t="s">
        <v>147</v>
      </c>
      <c r="N16" t="s">
        <v>564</v>
      </c>
      <c r="O16" t="s">
        <v>190</v>
      </c>
      <c r="P16" t="s">
        <v>108</v>
      </c>
      <c r="Q16" t="s">
        <v>177</v>
      </c>
      <c r="R16">
        <v>14.113667</v>
      </c>
      <c r="S16">
        <v>38.278831799999899</v>
      </c>
      <c r="T16" t="s">
        <v>35</v>
      </c>
      <c r="U16" t="s">
        <v>36</v>
      </c>
      <c r="W16" t="s">
        <v>54</v>
      </c>
      <c r="X16" t="s">
        <v>592</v>
      </c>
      <c r="Y16" t="s">
        <v>593</v>
      </c>
      <c r="Z16" t="s">
        <v>594</v>
      </c>
      <c r="AA16">
        <v>594</v>
      </c>
      <c r="AB16">
        <v>3078</v>
      </c>
    </row>
    <row r="17" spans="1:28" x14ac:dyDescent="0.35">
      <c r="A17" t="s">
        <v>353</v>
      </c>
      <c r="B17" t="s">
        <v>354</v>
      </c>
      <c r="C17" t="s">
        <v>355</v>
      </c>
      <c r="D17" t="s">
        <v>356</v>
      </c>
      <c r="F17" t="s">
        <v>203</v>
      </c>
      <c r="G17">
        <v>44276</v>
      </c>
      <c r="I17" t="s">
        <v>28</v>
      </c>
      <c r="J17" t="s">
        <v>140</v>
      </c>
      <c r="K17" t="s">
        <v>141</v>
      </c>
      <c r="L17" t="s">
        <v>145</v>
      </c>
      <c r="M17" t="s">
        <v>183</v>
      </c>
      <c r="N17" t="s">
        <v>357</v>
      </c>
      <c r="O17" t="s">
        <v>539</v>
      </c>
      <c r="P17" t="s">
        <v>358</v>
      </c>
      <c r="Q17" t="s">
        <v>595</v>
      </c>
      <c r="R17">
        <v>13.5169236</v>
      </c>
      <c r="S17">
        <v>39.482147699999899</v>
      </c>
      <c r="T17" t="s">
        <v>35</v>
      </c>
      <c r="U17" t="s">
        <v>36</v>
      </c>
      <c r="W17" t="s">
        <v>54</v>
      </c>
      <c r="X17" t="s">
        <v>592</v>
      </c>
      <c r="Y17" t="s">
        <v>593</v>
      </c>
      <c r="Z17" t="s">
        <v>594</v>
      </c>
      <c r="AA17">
        <v>42</v>
      </c>
      <c r="AB17">
        <v>109</v>
      </c>
    </row>
    <row r="18" spans="1:28" x14ac:dyDescent="0.35">
      <c r="A18" t="s">
        <v>359</v>
      </c>
      <c r="B18" t="s">
        <v>360</v>
      </c>
      <c r="C18" t="s">
        <v>361</v>
      </c>
      <c r="D18" t="s">
        <v>362</v>
      </c>
      <c r="F18" t="s">
        <v>27</v>
      </c>
      <c r="G18">
        <v>44228</v>
      </c>
      <c r="I18" t="s">
        <v>28</v>
      </c>
      <c r="J18" t="s">
        <v>140</v>
      </c>
      <c r="K18" t="s">
        <v>141</v>
      </c>
      <c r="L18" t="s">
        <v>145</v>
      </c>
      <c r="M18" t="s">
        <v>183</v>
      </c>
      <c r="N18" t="s">
        <v>250</v>
      </c>
      <c r="O18" t="s">
        <v>538</v>
      </c>
      <c r="P18" t="s">
        <v>363</v>
      </c>
      <c r="Q18" t="s">
        <v>595</v>
      </c>
      <c r="R18">
        <v>13.5110391</v>
      </c>
      <c r="S18">
        <v>39.463160000000002</v>
      </c>
      <c r="T18" t="s">
        <v>35</v>
      </c>
      <c r="U18" t="s">
        <v>36</v>
      </c>
      <c r="W18" t="s">
        <v>54</v>
      </c>
      <c r="X18" t="s">
        <v>592</v>
      </c>
      <c r="Y18" t="s">
        <v>593</v>
      </c>
      <c r="Z18" t="s">
        <v>594</v>
      </c>
      <c r="AA18">
        <v>160</v>
      </c>
      <c r="AB18">
        <v>705</v>
      </c>
    </row>
    <row r="19" spans="1:28" x14ac:dyDescent="0.35">
      <c r="D19" t="s">
        <v>603</v>
      </c>
      <c r="F19" t="s">
        <v>27</v>
      </c>
      <c r="G19">
        <v>45405</v>
      </c>
      <c r="I19" t="s">
        <v>369</v>
      </c>
      <c r="J19" t="s">
        <v>140</v>
      </c>
      <c r="K19" t="s">
        <v>141</v>
      </c>
      <c r="L19" t="s">
        <v>146</v>
      </c>
      <c r="M19" t="s">
        <v>147</v>
      </c>
      <c r="N19" t="s">
        <v>557</v>
      </c>
      <c r="O19" t="s">
        <v>168</v>
      </c>
      <c r="P19" t="s">
        <v>603</v>
      </c>
      <c r="Q19" t="s">
        <v>177</v>
      </c>
      <c r="R19">
        <v>14.312403</v>
      </c>
      <c r="S19">
        <v>38.172933</v>
      </c>
      <c r="T19" t="s">
        <v>35</v>
      </c>
      <c r="U19" t="s">
        <v>36</v>
      </c>
      <c r="W19" t="s">
        <v>54</v>
      </c>
      <c r="X19" t="s">
        <v>592</v>
      </c>
      <c r="Y19" t="s">
        <v>593</v>
      </c>
      <c r="Z19" t="s">
        <v>594</v>
      </c>
      <c r="AA19">
        <v>1451</v>
      </c>
      <c r="AB19">
        <v>7273</v>
      </c>
    </row>
    <row r="20" spans="1:28" x14ac:dyDescent="0.35">
      <c r="A20" t="s">
        <v>398</v>
      </c>
      <c r="B20" t="s">
        <v>399</v>
      </c>
      <c r="C20" t="s">
        <v>400</v>
      </c>
      <c r="D20" t="s">
        <v>401</v>
      </c>
      <c r="F20" t="s">
        <v>27</v>
      </c>
      <c r="G20">
        <v>44287</v>
      </c>
      <c r="I20" t="s">
        <v>28</v>
      </c>
      <c r="J20" t="s">
        <v>140</v>
      </c>
      <c r="K20" t="s">
        <v>141</v>
      </c>
      <c r="L20" t="s">
        <v>145</v>
      </c>
      <c r="M20" t="s">
        <v>183</v>
      </c>
      <c r="N20" t="s">
        <v>357</v>
      </c>
      <c r="O20" t="s">
        <v>539</v>
      </c>
      <c r="P20" t="s">
        <v>402</v>
      </c>
      <c r="Q20" t="s">
        <v>595</v>
      </c>
      <c r="R20">
        <v>13.5343895</v>
      </c>
      <c r="S20">
        <v>39.500067299999898</v>
      </c>
      <c r="T20" t="s">
        <v>35</v>
      </c>
      <c r="U20" t="s">
        <v>36</v>
      </c>
      <c r="W20" t="s">
        <v>54</v>
      </c>
      <c r="X20" t="s">
        <v>592</v>
      </c>
      <c r="Y20" t="s">
        <v>593</v>
      </c>
      <c r="Z20" t="s">
        <v>594</v>
      </c>
      <c r="AA20">
        <v>135</v>
      </c>
      <c r="AB20">
        <v>386</v>
      </c>
    </row>
    <row r="21" spans="1:28" x14ac:dyDescent="0.35">
      <c r="A21" t="s">
        <v>409</v>
      </c>
      <c r="B21" t="s">
        <v>410</v>
      </c>
      <c r="C21" t="s">
        <v>411</v>
      </c>
      <c r="D21" t="s">
        <v>412</v>
      </c>
      <c r="E21" t="s">
        <v>413</v>
      </c>
      <c r="F21" t="s">
        <v>27</v>
      </c>
      <c r="G21">
        <v>44287</v>
      </c>
      <c r="I21" t="s">
        <v>28</v>
      </c>
      <c r="J21" t="s">
        <v>140</v>
      </c>
      <c r="K21" t="s">
        <v>141</v>
      </c>
      <c r="L21" t="s">
        <v>146</v>
      </c>
      <c r="M21" t="s">
        <v>147</v>
      </c>
      <c r="N21" t="s">
        <v>564</v>
      </c>
      <c r="O21" t="s">
        <v>190</v>
      </c>
      <c r="P21" t="s">
        <v>191</v>
      </c>
      <c r="Q21" t="s">
        <v>177</v>
      </c>
      <c r="R21">
        <v>14.0857007</v>
      </c>
      <c r="S21">
        <v>38.2796647999999</v>
      </c>
      <c r="T21" t="s">
        <v>35</v>
      </c>
      <c r="U21" t="s">
        <v>36</v>
      </c>
      <c r="W21" t="s">
        <v>54</v>
      </c>
      <c r="X21" t="s">
        <v>592</v>
      </c>
      <c r="Y21" t="s">
        <v>593</v>
      </c>
      <c r="Z21" t="s">
        <v>594</v>
      </c>
      <c r="AA21">
        <v>361</v>
      </c>
      <c r="AB21">
        <v>1254</v>
      </c>
    </row>
    <row r="22" spans="1:28" x14ac:dyDescent="0.35">
      <c r="A22" t="s">
        <v>418</v>
      </c>
      <c r="B22" t="s">
        <v>419</v>
      </c>
      <c r="C22" t="s">
        <v>420</v>
      </c>
      <c r="D22" t="s">
        <v>421</v>
      </c>
      <c r="F22" t="s">
        <v>27</v>
      </c>
      <c r="G22">
        <v>44287</v>
      </c>
      <c r="I22" t="s">
        <v>28</v>
      </c>
      <c r="J22" t="s">
        <v>140</v>
      </c>
      <c r="K22" t="s">
        <v>141</v>
      </c>
      <c r="L22" t="s">
        <v>145</v>
      </c>
      <c r="M22" t="s">
        <v>183</v>
      </c>
      <c r="N22" t="s">
        <v>536</v>
      </c>
      <c r="O22" t="s">
        <v>537</v>
      </c>
      <c r="P22" t="s">
        <v>422</v>
      </c>
      <c r="Q22" t="s">
        <v>595</v>
      </c>
      <c r="R22">
        <v>13.510255900000001</v>
      </c>
      <c r="S22">
        <v>39.445589599999899</v>
      </c>
      <c r="T22" t="s">
        <v>35</v>
      </c>
      <c r="U22" t="s">
        <v>36</v>
      </c>
      <c r="W22" t="s">
        <v>54</v>
      </c>
      <c r="X22" t="s">
        <v>592</v>
      </c>
      <c r="Y22" t="s">
        <v>593</v>
      </c>
      <c r="Z22" t="s">
        <v>594</v>
      </c>
      <c r="AA22">
        <v>84</v>
      </c>
      <c r="AB22">
        <v>260</v>
      </c>
    </row>
    <row r="23" spans="1:28" x14ac:dyDescent="0.35">
      <c r="A23" t="s">
        <v>423</v>
      </c>
      <c r="B23" t="s">
        <v>424</v>
      </c>
      <c r="C23" t="s">
        <v>425</v>
      </c>
      <c r="D23" t="s">
        <v>426</v>
      </c>
      <c r="E23" t="s">
        <v>427</v>
      </c>
      <c r="F23" t="s">
        <v>27</v>
      </c>
      <c r="G23">
        <v>44378</v>
      </c>
      <c r="I23" t="s">
        <v>28</v>
      </c>
      <c r="J23" t="s">
        <v>140</v>
      </c>
      <c r="K23" t="s">
        <v>141</v>
      </c>
      <c r="L23" t="s">
        <v>142</v>
      </c>
      <c r="M23" t="s">
        <v>143</v>
      </c>
      <c r="N23" t="s">
        <v>218</v>
      </c>
      <c r="O23" t="s">
        <v>219</v>
      </c>
      <c r="P23" t="s">
        <v>242</v>
      </c>
      <c r="Q23" t="s">
        <v>218</v>
      </c>
      <c r="R23">
        <v>14.099713100000001</v>
      </c>
      <c r="S23">
        <v>38.274393199999899</v>
      </c>
      <c r="T23" t="s">
        <v>35</v>
      </c>
      <c r="U23" t="s">
        <v>36</v>
      </c>
      <c r="W23" t="s">
        <v>54</v>
      </c>
      <c r="X23" t="s">
        <v>592</v>
      </c>
      <c r="Y23" t="s">
        <v>593</v>
      </c>
      <c r="Z23" t="s">
        <v>594</v>
      </c>
      <c r="AA23">
        <v>567</v>
      </c>
      <c r="AB23">
        <v>2946</v>
      </c>
    </row>
    <row r="24" spans="1:28" x14ac:dyDescent="0.35">
      <c r="A24" t="s">
        <v>428</v>
      </c>
      <c r="B24" t="s">
        <v>429</v>
      </c>
      <c r="C24" t="s">
        <v>430</v>
      </c>
      <c r="D24" t="s">
        <v>431</v>
      </c>
      <c r="E24" t="s">
        <v>432</v>
      </c>
      <c r="F24" t="s">
        <v>27</v>
      </c>
      <c r="G24">
        <v>44378</v>
      </c>
      <c r="I24" t="s">
        <v>28</v>
      </c>
      <c r="J24" t="s">
        <v>140</v>
      </c>
      <c r="K24" t="s">
        <v>141</v>
      </c>
      <c r="L24" t="s">
        <v>142</v>
      </c>
      <c r="M24" t="s">
        <v>143</v>
      </c>
      <c r="N24" t="s">
        <v>218</v>
      </c>
      <c r="O24" t="s">
        <v>219</v>
      </c>
      <c r="P24" t="s">
        <v>433</v>
      </c>
      <c r="Q24" t="s">
        <v>218</v>
      </c>
      <c r="R24">
        <v>14.157890800000001</v>
      </c>
      <c r="S24">
        <v>38.886465000000001</v>
      </c>
      <c r="T24" t="s">
        <v>35</v>
      </c>
      <c r="U24" t="s">
        <v>36</v>
      </c>
      <c r="W24" t="s">
        <v>54</v>
      </c>
      <c r="X24" t="s">
        <v>592</v>
      </c>
      <c r="Y24" t="s">
        <v>593</v>
      </c>
      <c r="Z24" t="s">
        <v>594</v>
      </c>
      <c r="AA24">
        <v>220</v>
      </c>
      <c r="AB24">
        <v>677</v>
      </c>
    </row>
    <row r="25" spans="1:28" x14ac:dyDescent="0.35">
      <c r="A25" t="s">
        <v>434</v>
      </c>
      <c r="B25" t="s">
        <v>435</v>
      </c>
      <c r="C25" t="s">
        <v>436</v>
      </c>
      <c r="D25" t="s">
        <v>437</v>
      </c>
      <c r="E25" t="s">
        <v>438</v>
      </c>
      <c r="F25" t="s">
        <v>27</v>
      </c>
      <c r="G25">
        <v>44642</v>
      </c>
      <c r="I25" t="s">
        <v>28</v>
      </c>
      <c r="J25" t="s">
        <v>140</v>
      </c>
      <c r="K25" t="s">
        <v>141</v>
      </c>
      <c r="L25" t="s">
        <v>142</v>
      </c>
      <c r="M25" t="s">
        <v>143</v>
      </c>
      <c r="N25" t="s">
        <v>218</v>
      </c>
      <c r="O25" t="s">
        <v>219</v>
      </c>
      <c r="P25" t="s">
        <v>439</v>
      </c>
      <c r="Q25" t="s">
        <v>218</v>
      </c>
      <c r="R25">
        <v>14.1751825999999</v>
      </c>
      <c r="S25">
        <v>38.886925900000001</v>
      </c>
      <c r="T25" t="s">
        <v>35</v>
      </c>
      <c r="U25" t="s">
        <v>36</v>
      </c>
      <c r="W25" t="s">
        <v>54</v>
      </c>
      <c r="X25" t="s">
        <v>592</v>
      </c>
      <c r="Y25" t="s">
        <v>593</v>
      </c>
      <c r="Z25" t="s">
        <v>594</v>
      </c>
      <c r="AA25">
        <v>93</v>
      </c>
      <c r="AB25">
        <v>287</v>
      </c>
    </row>
    <row r="26" spans="1:28" x14ac:dyDescent="0.35">
      <c r="A26" t="s">
        <v>127</v>
      </c>
      <c r="B26" t="s">
        <v>127</v>
      </c>
      <c r="C26" t="s">
        <v>128</v>
      </c>
      <c r="D26" t="s">
        <v>129</v>
      </c>
      <c r="F26" t="s">
        <v>27</v>
      </c>
      <c r="G26">
        <v>44197</v>
      </c>
      <c r="I26" t="s">
        <v>604</v>
      </c>
      <c r="J26" t="s">
        <v>130</v>
      </c>
      <c r="K26" t="s">
        <v>131</v>
      </c>
      <c r="L26" t="s">
        <v>132</v>
      </c>
      <c r="M26" t="s">
        <v>133</v>
      </c>
      <c r="N26" t="s">
        <v>134</v>
      </c>
      <c r="O26" t="s">
        <v>135</v>
      </c>
      <c r="P26" t="s">
        <v>136</v>
      </c>
      <c r="Q26" t="s">
        <v>605</v>
      </c>
      <c r="R26">
        <v>9.3514385000000004</v>
      </c>
      <c r="S26">
        <v>42.781108799999899</v>
      </c>
      <c r="T26" t="s">
        <v>35</v>
      </c>
      <c r="U26" t="s">
        <v>36</v>
      </c>
      <c r="W26" t="s">
        <v>54</v>
      </c>
      <c r="X26" t="s">
        <v>606</v>
      </c>
      <c r="Y26" t="s">
        <v>607</v>
      </c>
      <c r="Z26" t="s">
        <v>608</v>
      </c>
      <c r="AA26">
        <v>6896</v>
      </c>
      <c r="AB26">
        <v>42042</v>
      </c>
    </row>
    <row r="27" spans="1:28" x14ac:dyDescent="0.35">
      <c r="A27" t="s">
        <v>137</v>
      </c>
      <c r="B27" t="s">
        <v>137</v>
      </c>
      <c r="C27" t="s">
        <v>138</v>
      </c>
      <c r="D27" t="s">
        <v>139</v>
      </c>
      <c r="F27" t="s">
        <v>27</v>
      </c>
      <c r="G27">
        <v>44198</v>
      </c>
      <c r="I27" t="s">
        <v>604</v>
      </c>
      <c r="J27" t="s">
        <v>130</v>
      </c>
      <c r="K27" t="s">
        <v>131</v>
      </c>
      <c r="L27" t="s">
        <v>132</v>
      </c>
      <c r="M27" t="s">
        <v>133</v>
      </c>
      <c r="N27" t="s">
        <v>134</v>
      </c>
      <c r="O27" t="s">
        <v>135</v>
      </c>
      <c r="P27" t="s">
        <v>136</v>
      </c>
      <c r="Q27" t="s">
        <v>605</v>
      </c>
      <c r="R27">
        <v>9.3622028000000004</v>
      </c>
      <c r="S27">
        <v>42.738081200000003</v>
      </c>
      <c r="T27" t="s">
        <v>35</v>
      </c>
      <c r="U27" t="s">
        <v>36</v>
      </c>
      <c r="W27" t="s">
        <v>54</v>
      </c>
      <c r="X27" t="s">
        <v>606</v>
      </c>
      <c r="Y27" t="s">
        <v>607</v>
      </c>
      <c r="Z27" t="s">
        <v>608</v>
      </c>
      <c r="AA27">
        <v>8631</v>
      </c>
      <c r="AB27">
        <v>51953</v>
      </c>
    </row>
    <row r="28" spans="1:28" x14ac:dyDescent="0.35">
      <c r="A28" t="s">
        <v>440</v>
      </c>
      <c r="B28" t="s">
        <v>441</v>
      </c>
      <c r="C28" t="s">
        <v>442</v>
      </c>
      <c r="D28" t="s">
        <v>443</v>
      </c>
      <c r="E28" t="s">
        <v>444</v>
      </c>
      <c r="F28" t="s">
        <v>27</v>
      </c>
      <c r="G28">
        <v>44460</v>
      </c>
      <c r="I28" t="s">
        <v>53</v>
      </c>
      <c r="J28" t="s">
        <v>140</v>
      </c>
      <c r="K28" t="s">
        <v>141</v>
      </c>
      <c r="L28" t="s">
        <v>145</v>
      </c>
      <c r="M28" t="s">
        <v>183</v>
      </c>
      <c r="N28" t="s">
        <v>540</v>
      </c>
      <c r="O28" t="s">
        <v>541</v>
      </c>
      <c r="P28" t="s">
        <v>445</v>
      </c>
      <c r="Q28" t="s">
        <v>595</v>
      </c>
      <c r="R28">
        <v>13.4926409</v>
      </c>
      <c r="S28">
        <v>39.417102100000001</v>
      </c>
      <c r="T28" t="s">
        <v>35</v>
      </c>
      <c r="U28" t="s">
        <v>36</v>
      </c>
      <c r="W28" t="s">
        <v>54</v>
      </c>
      <c r="X28" t="s">
        <v>592</v>
      </c>
      <c r="Y28" t="s">
        <v>593</v>
      </c>
      <c r="Z28" t="s">
        <v>594</v>
      </c>
      <c r="AA28">
        <v>2319</v>
      </c>
      <c r="AB28">
        <v>9867</v>
      </c>
    </row>
    <row r="29" spans="1:28" x14ac:dyDescent="0.35">
      <c r="D29" t="s">
        <v>609</v>
      </c>
      <c r="F29" t="s">
        <v>27</v>
      </c>
      <c r="G29">
        <v>45078</v>
      </c>
      <c r="I29" t="s">
        <v>550</v>
      </c>
      <c r="J29" t="s">
        <v>140</v>
      </c>
      <c r="K29" t="s">
        <v>141</v>
      </c>
      <c r="L29" t="s">
        <v>146</v>
      </c>
      <c r="M29" t="s">
        <v>147</v>
      </c>
      <c r="N29" t="s">
        <v>177</v>
      </c>
      <c r="O29" t="s">
        <v>190</v>
      </c>
      <c r="P29" t="s">
        <v>610</v>
      </c>
      <c r="Q29" t="s">
        <v>177</v>
      </c>
      <c r="R29">
        <v>14.105124999999999</v>
      </c>
      <c r="S29">
        <v>38.285482999999999</v>
      </c>
      <c r="T29" t="s">
        <v>35</v>
      </c>
      <c r="U29" t="s">
        <v>36</v>
      </c>
      <c r="W29" t="s">
        <v>54</v>
      </c>
      <c r="X29" t="s">
        <v>592</v>
      </c>
      <c r="Y29" t="s">
        <v>593</v>
      </c>
      <c r="Z29" t="s">
        <v>594</v>
      </c>
      <c r="AB29">
        <v>6736</v>
      </c>
    </row>
    <row r="30" spans="1:28" x14ac:dyDescent="0.35">
      <c r="A30" t="s">
        <v>490</v>
      </c>
      <c r="B30" t="s">
        <v>491</v>
      </c>
      <c r="C30" t="s">
        <v>492</v>
      </c>
      <c r="D30" t="s">
        <v>493</v>
      </c>
      <c r="E30" t="s">
        <v>494</v>
      </c>
      <c r="F30" t="s">
        <v>27</v>
      </c>
      <c r="G30">
        <v>44348</v>
      </c>
      <c r="I30" t="s">
        <v>28</v>
      </c>
      <c r="J30" t="s">
        <v>140</v>
      </c>
      <c r="K30" t="s">
        <v>141</v>
      </c>
      <c r="L30" t="s">
        <v>146</v>
      </c>
      <c r="M30" t="s">
        <v>147</v>
      </c>
      <c r="N30" t="s">
        <v>564</v>
      </c>
      <c r="O30" t="s">
        <v>190</v>
      </c>
      <c r="P30" t="s">
        <v>191</v>
      </c>
      <c r="Q30" t="s">
        <v>177</v>
      </c>
      <c r="R30">
        <v>14.093613700000001</v>
      </c>
      <c r="S30">
        <v>38.279992</v>
      </c>
      <c r="T30" t="s">
        <v>35</v>
      </c>
      <c r="U30" t="s">
        <v>36</v>
      </c>
      <c r="W30" t="s">
        <v>54</v>
      </c>
      <c r="X30" t="s">
        <v>592</v>
      </c>
      <c r="Y30" t="s">
        <v>593</v>
      </c>
      <c r="Z30" t="s">
        <v>594</v>
      </c>
      <c r="AA30">
        <v>2440</v>
      </c>
      <c r="AB30">
        <v>8825</v>
      </c>
    </row>
    <row r="31" spans="1:28" x14ac:dyDescent="0.35">
      <c r="A31" t="s">
        <v>496</v>
      </c>
      <c r="B31" t="s">
        <v>497</v>
      </c>
      <c r="C31" t="s">
        <v>498</v>
      </c>
      <c r="D31" t="s">
        <v>499</v>
      </c>
      <c r="F31" t="s">
        <v>27</v>
      </c>
      <c r="G31">
        <v>44287</v>
      </c>
      <c r="I31" t="s">
        <v>28</v>
      </c>
      <c r="J31" t="s">
        <v>140</v>
      </c>
      <c r="K31" t="s">
        <v>141</v>
      </c>
      <c r="L31" t="s">
        <v>146</v>
      </c>
      <c r="M31" t="s">
        <v>147</v>
      </c>
      <c r="N31" t="s">
        <v>564</v>
      </c>
      <c r="O31" t="s">
        <v>190</v>
      </c>
      <c r="P31" t="s">
        <v>163</v>
      </c>
      <c r="Q31" t="s">
        <v>177</v>
      </c>
      <c r="R31">
        <v>14.1058907999999</v>
      </c>
      <c r="S31">
        <v>38.2893264</v>
      </c>
      <c r="T31" t="s">
        <v>35</v>
      </c>
      <c r="U31" t="s">
        <v>36</v>
      </c>
      <c r="W31" t="s">
        <v>54</v>
      </c>
      <c r="X31" t="s">
        <v>592</v>
      </c>
      <c r="Y31" t="s">
        <v>593</v>
      </c>
      <c r="Z31" t="s">
        <v>594</v>
      </c>
      <c r="AA31">
        <v>1890</v>
      </c>
      <c r="AB31">
        <v>8720</v>
      </c>
    </row>
    <row r="32" spans="1:28" x14ac:dyDescent="0.35">
      <c r="A32" t="s">
        <v>500</v>
      </c>
      <c r="B32" t="s">
        <v>501</v>
      </c>
      <c r="C32" t="s">
        <v>502</v>
      </c>
      <c r="D32" t="s">
        <v>503</v>
      </c>
      <c r="E32" t="s">
        <v>504</v>
      </c>
      <c r="F32" t="s">
        <v>27</v>
      </c>
      <c r="G32">
        <v>44673</v>
      </c>
      <c r="I32" t="s">
        <v>369</v>
      </c>
      <c r="J32" t="s">
        <v>140</v>
      </c>
      <c r="K32" t="s">
        <v>141</v>
      </c>
      <c r="L32" t="s">
        <v>262</v>
      </c>
      <c r="M32" t="s">
        <v>263</v>
      </c>
      <c r="N32" t="s">
        <v>264</v>
      </c>
      <c r="O32" t="s">
        <v>265</v>
      </c>
      <c r="P32" t="s">
        <v>101</v>
      </c>
      <c r="Q32" t="s">
        <v>266</v>
      </c>
      <c r="R32">
        <v>14.28972222</v>
      </c>
      <c r="S32">
        <v>39.473055559999999</v>
      </c>
      <c r="T32" t="s">
        <v>35</v>
      </c>
      <c r="U32" t="s">
        <v>36</v>
      </c>
      <c r="W32" t="s">
        <v>54</v>
      </c>
      <c r="X32" t="s">
        <v>592</v>
      </c>
      <c r="Y32" t="s">
        <v>593</v>
      </c>
      <c r="Z32" t="s">
        <v>594</v>
      </c>
      <c r="AA32">
        <v>487</v>
      </c>
      <c r="AB32">
        <v>2846</v>
      </c>
    </row>
    <row r="33" spans="1:28" x14ac:dyDescent="0.35">
      <c r="A33" t="s">
        <v>505</v>
      </c>
      <c r="B33" t="s">
        <v>506</v>
      </c>
      <c r="C33" t="s">
        <v>507</v>
      </c>
      <c r="D33" t="s">
        <v>508</v>
      </c>
      <c r="E33" t="s">
        <v>509</v>
      </c>
      <c r="F33" t="s">
        <v>203</v>
      </c>
      <c r="G33">
        <v>44162</v>
      </c>
      <c r="I33" t="s">
        <v>28</v>
      </c>
      <c r="J33" t="s">
        <v>140</v>
      </c>
      <c r="K33" t="s">
        <v>141</v>
      </c>
      <c r="L33" t="s">
        <v>142</v>
      </c>
      <c r="M33" t="s">
        <v>143</v>
      </c>
      <c r="N33" t="s">
        <v>510</v>
      </c>
      <c r="O33" t="s">
        <v>511</v>
      </c>
      <c r="Q33" t="s">
        <v>218</v>
      </c>
      <c r="R33">
        <v>14.169444970000001</v>
      </c>
      <c r="S33">
        <v>38.895602740000001</v>
      </c>
      <c r="T33" t="s">
        <v>35</v>
      </c>
      <c r="U33" t="s">
        <v>36</v>
      </c>
      <c r="W33" t="s">
        <v>54</v>
      </c>
      <c r="X33" t="s">
        <v>592</v>
      </c>
      <c r="Y33" t="s">
        <v>593</v>
      </c>
      <c r="Z33" t="s">
        <v>594</v>
      </c>
      <c r="AA33">
        <v>23</v>
      </c>
      <c r="AB33">
        <v>90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B7F9-3733-4956-B749-2F16BFD0CBD0}">
  <dimension ref="A1:AC28"/>
  <sheetViews>
    <sheetView workbookViewId="0"/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32.08203125" bestFit="1" customWidth="1"/>
    <col min="5" max="5" width="80.0820312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8.58203125" bestFit="1" customWidth="1"/>
    <col min="10" max="10" width="8.83203125" bestFit="1" customWidth="1"/>
    <col min="11" max="11" width="20.83203125" bestFit="1" customWidth="1"/>
    <col min="12" max="12" width="13" bestFit="1" customWidth="1"/>
    <col min="13" max="13" width="21.08203125" bestFit="1" customWidth="1"/>
    <col min="14" max="14" width="23.08203125" bestFit="1" customWidth="1"/>
    <col min="15" max="15" width="21.08203125" bestFit="1" customWidth="1"/>
    <col min="16" max="16" width="11" bestFit="1" customWidth="1"/>
    <col min="17" max="17" width="7.33203125" bestFit="1" customWidth="1"/>
    <col min="18" max="19" width="11.83203125" bestFit="1" customWidth="1"/>
    <col min="20" max="20" width="22.5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17.75" bestFit="1" customWidth="1"/>
    <col min="26" max="26" width="10.83203125" bestFit="1" customWidth="1"/>
    <col min="27" max="27" width="11.83203125" bestFit="1" customWidth="1"/>
    <col min="28" max="28" width="12.5" bestFit="1" customWidth="1"/>
    <col min="29" max="29" width="10.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548</v>
      </c>
      <c r="Y1" t="s">
        <v>22</v>
      </c>
      <c r="Z1" t="s">
        <v>23</v>
      </c>
      <c r="AA1" t="s">
        <v>571</v>
      </c>
      <c r="AB1" t="s">
        <v>572</v>
      </c>
      <c r="AC1" t="s">
        <v>553</v>
      </c>
    </row>
    <row r="2" spans="1:29" x14ac:dyDescent="0.35">
      <c r="D2" t="s">
        <v>611</v>
      </c>
      <c r="E2" t="s">
        <v>612</v>
      </c>
      <c r="F2" t="s">
        <v>27</v>
      </c>
      <c r="G2">
        <v>44927</v>
      </c>
      <c r="I2" t="s">
        <v>613</v>
      </c>
      <c r="J2" t="s">
        <v>140</v>
      </c>
      <c r="K2" t="s">
        <v>141</v>
      </c>
      <c r="L2" t="s">
        <v>142</v>
      </c>
      <c r="M2" t="s">
        <v>143</v>
      </c>
      <c r="N2" t="s">
        <v>614</v>
      </c>
      <c r="O2" t="s">
        <v>144</v>
      </c>
      <c r="Q2" t="s">
        <v>156</v>
      </c>
      <c r="T2" t="s">
        <v>35</v>
      </c>
      <c r="U2" t="s">
        <v>36</v>
      </c>
      <c r="V2" t="s">
        <v>550</v>
      </c>
      <c r="W2" t="s">
        <v>157</v>
      </c>
      <c r="Y2" t="s">
        <v>615</v>
      </c>
      <c r="Z2" t="s">
        <v>616</v>
      </c>
    </row>
    <row r="3" spans="1:29" x14ac:dyDescent="0.35">
      <c r="A3" t="s">
        <v>151</v>
      </c>
      <c r="B3" t="s">
        <v>152</v>
      </c>
      <c r="C3" t="s">
        <v>153</v>
      </c>
      <c r="D3" t="s">
        <v>154</v>
      </c>
      <c r="E3" t="s">
        <v>155</v>
      </c>
      <c r="F3" t="s">
        <v>27</v>
      </c>
      <c r="G3">
        <v>44298</v>
      </c>
      <c r="I3" t="s">
        <v>28</v>
      </c>
      <c r="J3" t="s">
        <v>140</v>
      </c>
      <c r="K3" t="s">
        <v>141</v>
      </c>
      <c r="L3" t="s">
        <v>142</v>
      </c>
      <c r="M3" t="s">
        <v>143</v>
      </c>
      <c r="N3" t="s">
        <v>614</v>
      </c>
      <c r="O3" t="s">
        <v>144</v>
      </c>
      <c r="P3" t="s">
        <v>156</v>
      </c>
      <c r="R3">
        <v>13.496055200000001</v>
      </c>
      <c r="S3">
        <v>39.477251199999898</v>
      </c>
      <c r="T3" t="s">
        <v>35</v>
      </c>
      <c r="U3" t="s">
        <v>36</v>
      </c>
      <c r="W3" t="s">
        <v>157</v>
      </c>
      <c r="Y3" t="s">
        <v>617</v>
      </c>
      <c r="Z3" t="s">
        <v>618</v>
      </c>
    </row>
    <row r="4" spans="1:29" x14ac:dyDescent="0.35">
      <c r="A4" t="s">
        <v>158</v>
      </c>
      <c r="B4" t="s">
        <v>159</v>
      </c>
      <c r="C4" t="s">
        <v>160</v>
      </c>
      <c r="D4" t="s">
        <v>161</v>
      </c>
      <c r="F4" t="s">
        <v>27</v>
      </c>
      <c r="G4">
        <v>44153</v>
      </c>
      <c r="I4" t="s">
        <v>28</v>
      </c>
      <c r="J4" t="s">
        <v>140</v>
      </c>
      <c r="K4" t="s">
        <v>141</v>
      </c>
      <c r="L4" t="s">
        <v>142</v>
      </c>
      <c r="M4" t="s">
        <v>143</v>
      </c>
      <c r="N4" t="s">
        <v>619</v>
      </c>
      <c r="O4" t="s">
        <v>162</v>
      </c>
      <c r="P4" t="s">
        <v>163</v>
      </c>
      <c r="R4">
        <v>14.102928</v>
      </c>
      <c r="S4">
        <v>38.287478</v>
      </c>
      <c r="T4" t="s">
        <v>35</v>
      </c>
      <c r="U4" t="s">
        <v>36</v>
      </c>
      <c r="W4" t="s">
        <v>157</v>
      </c>
      <c r="Y4" t="s">
        <v>620</v>
      </c>
      <c r="Z4" t="s">
        <v>621</v>
      </c>
    </row>
    <row r="5" spans="1:29" x14ac:dyDescent="0.35">
      <c r="D5" t="s">
        <v>622</v>
      </c>
      <c r="E5" t="s">
        <v>623</v>
      </c>
      <c r="F5" t="s">
        <v>27</v>
      </c>
      <c r="G5">
        <v>45352</v>
      </c>
      <c r="I5" t="s">
        <v>613</v>
      </c>
      <c r="J5" t="s">
        <v>140</v>
      </c>
      <c r="K5" t="s">
        <v>531</v>
      </c>
      <c r="L5" t="s">
        <v>142</v>
      </c>
      <c r="M5" t="s">
        <v>143</v>
      </c>
      <c r="N5" t="s">
        <v>510</v>
      </c>
      <c r="O5" t="s">
        <v>511</v>
      </c>
      <c r="Q5" t="s">
        <v>218</v>
      </c>
      <c r="T5" t="s">
        <v>35</v>
      </c>
      <c r="U5" t="s">
        <v>36</v>
      </c>
      <c r="V5" t="s">
        <v>550</v>
      </c>
      <c r="W5" t="s">
        <v>624</v>
      </c>
      <c r="Y5" t="s">
        <v>625</v>
      </c>
      <c r="Z5" t="s">
        <v>626</v>
      </c>
    </row>
    <row r="6" spans="1:29" x14ac:dyDescent="0.35">
      <c r="A6" t="s">
        <v>221</v>
      </c>
      <c r="B6" t="s">
        <v>222</v>
      </c>
      <c r="C6" t="s">
        <v>223</v>
      </c>
      <c r="D6" t="s">
        <v>224</v>
      </c>
      <c r="F6" t="s">
        <v>27</v>
      </c>
      <c r="G6">
        <v>44150</v>
      </c>
      <c r="I6" t="s">
        <v>28</v>
      </c>
      <c r="J6" t="s">
        <v>140</v>
      </c>
      <c r="K6" t="s">
        <v>141</v>
      </c>
      <c r="L6" t="s">
        <v>142</v>
      </c>
      <c r="M6" t="s">
        <v>143</v>
      </c>
      <c r="N6" t="s">
        <v>619</v>
      </c>
      <c r="O6" t="s">
        <v>162</v>
      </c>
      <c r="P6" t="s">
        <v>225</v>
      </c>
      <c r="R6">
        <v>14.1029628</v>
      </c>
      <c r="S6">
        <v>38.287392699999899</v>
      </c>
      <c r="T6" t="s">
        <v>35</v>
      </c>
      <c r="U6" t="s">
        <v>36</v>
      </c>
      <c r="W6" t="s">
        <v>157</v>
      </c>
      <c r="Y6" t="s">
        <v>620</v>
      </c>
      <c r="Z6" t="s">
        <v>621</v>
      </c>
    </row>
    <row r="7" spans="1:29" x14ac:dyDescent="0.35">
      <c r="A7" t="s">
        <v>234</v>
      </c>
      <c r="B7" t="s">
        <v>235</v>
      </c>
      <c r="D7" t="s">
        <v>236</v>
      </c>
      <c r="F7" t="s">
        <v>27</v>
      </c>
      <c r="G7">
        <v>44604</v>
      </c>
      <c r="I7" t="s">
        <v>28</v>
      </c>
      <c r="J7" t="s">
        <v>140</v>
      </c>
      <c r="K7" t="s">
        <v>141</v>
      </c>
      <c r="L7" t="s">
        <v>142</v>
      </c>
      <c r="M7" t="s">
        <v>143</v>
      </c>
      <c r="N7" t="s">
        <v>614</v>
      </c>
      <c r="O7" t="s">
        <v>144</v>
      </c>
      <c r="R7">
        <v>13.642468600000001</v>
      </c>
      <c r="S7">
        <v>38.986799099999999</v>
      </c>
      <c r="T7" t="s">
        <v>35</v>
      </c>
      <c r="U7" t="s">
        <v>36</v>
      </c>
      <c r="W7" t="s">
        <v>157</v>
      </c>
      <c r="Y7" t="s">
        <v>617</v>
      </c>
      <c r="Z7" t="s">
        <v>618</v>
      </c>
    </row>
    <row r="8" spans="1:29" x14ac:dyDescent="0.35">
      <c r="A8" t="s">
        <v>237</v>
      </c>
      <c r="B8" t="s">
        <v>238</v>
      </c>
      <c r="C8" t="s">
        <v>239</v>
      </c>
      <c r="D8" t="s">
        <v>240</v>
      </c>
      <c r="E8" t="s">
        <v>241</v>
      </c>
      <c r="F8" t="s">
        <v>27</v>
      </c>
      <c r="G8">
        <v>44153</v>
      </c>
      <c r="I8" t="s">
        <v>28</v>
      </c>
      <c r="J8" t="s">
        <v>140</v>
      </c>
      <c r="K8" t="s">
        <v>141</v>
      </c>
      <c r="L8" t="s">
        <v>142</v>
      </c>
      <c r="M8" t="s">
        <v>143</v>
      </c>
      <c r="N8" t="s">
        <v>619</v>
      </c>
      <c r="O8" t="s">
        <v>162</v>
      </c>
      <c r="P8" t="s">
        <v>242</v>
      </c>
      <c r="R8">
        <v>14.114955520000001</v>
      </c>
      <c r="S8">
        <v>38.731067209999999</v>
      </c>
      <c r="T8" t="s">
        <v>35</v>
      </c>
      <c r="U8" t="s">
        <v>36</v>
      </c>
      <c r="W8" t="s">
        <v>157</v>
      </c>
      <c r="Y8" t="s">
        <v>620</v>
      </c>
      <c r="Z8" t="s">
        <v>621</v>
      </c>
    </row>
    <row r="9" spans="1:29" x14ac:dyDescent="0.35">
      <c r="A9" t="s">
        <v>243</v>
      </c>
      <c r="B9" t="s">
        <v>244</v>
      </c>
      <c r="C9" t="s">
        <v>245</v>
      </c>
      <c r="D9" t="s">
        <v>246</v>
      </c>
      <c r="E9" t="s">
        <v>247</v>
      </c>
      <c r="F9" t="s">
        <v>27</v>
      </c>
      <c r="G9">
        <v>44269</v>
      </c>
      <c r="I9" t="s">
        <v>28</v>
      </c>
      <c r="J9" t="s">
        <v>140</v>
      </c>
      <c r="K9" t="s">
        <v>141</v>
      </c>
      <c r="L9" t="s">
        <v>146</v>
      </c>
      <c r="M9" t="s">
        <v>147</v>
      </c>
      <c r="N9" t="s">
        <v>564</v>
      </c>
      <c r="O9" t="s">
        <v>190</v>
      </c>
      <c r="P9" t="s">
        <v>163</v>
      </c>
      <c r="Q9" t="s">
        <v>177</v>
      </c>
      <c r="R9">
        <v>14.1030499</v>
      </c>
      <c r="S9">
        <v>38.287322600000003</v>
      </c>
      <c r="T9" t="s">
        <v>35</v>
      </c>
      <c r="U9" t="s">
        <v>36</v>
      </c>
      <c r="W9" t="s">
        <v>157</v>
      </c>
      <c r="Y9" t="s">
        <v>282</v>
      </c>
      <c r="Z9" t="s">
        <v>283</v>
      </c>
    </row>
    <row r="10" spans="1:29" x14ac:dyDescent="0.35">
      <c r="D10" t="s">
        <v>627</v>
      </c>
      <c r="E10" t="s">
        <v>628</v>
      </c>
      <c r="F10" t="s">
        <v>27</v>
      </c>
      <c r="G10">
        <v>44927</v>
      </c>
      <c r="I10" t="s">
        <v>613</v>
      </c>
      <c r="J10" t="s">
        <v>140</v>
      </c>
      <c r="K10" t="s">
        <v>141</v>
      </c>
      <c r="L10" t="s">
        <v>142</v>
      </c>
      <c r="M10" t="s">
        <v>143</v>
      </c>
      <c r="N10" t="s">
        <v>619</v>
      </c>
      <c r="O10" t="s">
        <v>162</v>
      </c>
      <c r="Q10" t="s">
        <v>306</v>
      </c>
      <c r="T10" t="s">
        <v>35</v>
      </c>
      <c r="U10" t="s">
        <v>36</v>
      </c>
      <c r="V10" t="s">
        <v>550</v>
      </c>
      <c r="W10" t="s">
        <v>157</v>
      </c>
      <c r="Y10" t="s">
        <v>629</v>
      </c>
      <c r="Z10" t="s">
        <v>630</v>
      </c>
    </row>
    <row r="11" spans="1:29" x14ac:dyDescent="0.35">
      <c r="A11" t="s">
        <v>278</v>
      </c>
      <c r="B11" t="s">
        <v>279</v>
      </c>
      <c r="C11" t="s">
        <v>280</v>
      </c>
      <c r="D11" t="s">
        <v>281</v>
      </c>
      <c r="F11" t="s">
        <v>27</v>
      </c>
      <c r="G11">
        <v>44149</v>
      </c>
      <c r="I11" t="s">
        <v>28</v>
      </c>
      <c r="J11" t="s">
        <v>140</v>
      </c>
      <c r="K11" t="s">
        <v>141</v>
      </c>
      <c r="L11" t="s">
        <v>146</v>
      </c>
      <c r="M11" t="s">
        <v>147</v>
      </c>
      <c r="N11" t="s">
        <v>564</v>
      </c>
      <c r="O11" t="s">
        <v>190</v>
      </c>
      <c r="P11" t="s">
        <v>108</v>
      </c>
      <c r="Q11" t="s">
        <v>177</v>
      </c>
      <c r="R11">
        <v>14.10292304</v>
      </c>
      <c r="S11">
        <v>38.287528459999898</v>
      </c>
      <c r="T11" t="s">
        <v>35</v>
      </c>
      <c r="U11" t="s">
        <v>36</v>
      </c>
      <c r="W11" t="s">
        <v>157</v>
      </c>
      <c r="Y11" t="s">
        <v>282</v>
      </c>
      <c r="Z11" t="s">
        <v>283</v>
      </c>
    </row>
    <row r="12" spans="1:29" x14ac:dyDescent="0.35">
      <c r="A12" t="s">
        <v>300</v>
      </c>
      <c r="B12" t="s">
        <v>301</v>
      </c>
      <c r="C12" t="s">
        <v>302</v>
      </c>
      <c r="D12" t="s">
        <v>303</v>
      </c>
      <c r="E12" t="s">
        <v>304</v>
      </c>
      <c r="F12" t="s">
        <v>27</v>
      </c>
      <c r="G12">
        <v>44151</v>
      </c>
      <c r="I12" t="s">
        <v>28</v>
      </c>
      <c r="J12" t="s">
        <v>140</v>
      </c>
      <c r="K12" t="s">
        <v>141</v>
      </c>
      <c r="L12" t="s">
        <v>142</v>
      </c>
      <c r="M12" t="s">
        <v>143</v>
      </c>
      <c r="N12" t="s">
        <v>619</v>
      </c>
      <c r="O12" t="s">
        <v>162</v>
      </c>
      <c r="P12" t="s">
        <v>305</v>
      </c>
      <c r="Q12" t="s">
        <v>306</v>
      </c>
      <c r="R12">
        <v>14.1208156</v>
      </c>
      <c r="S12">
        <v>38.723231200000001</v>
      </c>
      <c r="T12" t="s">
        <v>35</v>
      </c>
      <c r="U12" t="s">
        <v>36</v>
      </c>
      <c r="W12" t="s">
        <v>157</v>
      </c>
      <c r="Y12" t="s">
        <v>620</v>
      </c>
      <c r="Z12" t="s">
        <v>621</v>
      </c>
    </row>
    <row r="13" spans="1:29" x14ac:dyDescent="0.35">
      <c r="A13" t="s">
        <v>307</v>
      </c>
      <c r="B13" t="s">
        <v>308</v>
      </c>
      <c r="C13" t="s">
        <v>309</v>
      </c>
      <c r="D13" t="s">
        <v>310</v>
      </c>
      <c r="E13" t="s">
        <v>311</v>
      </c>
      <c r="F13" t="s">
        <v>27</v>
      </c>
      <c r="G13">
        <v>44360</v>
      </c>
      <c r="I13" t="s">
        <v>53</v>
      </c>
      <c r="J13" t="s">
        <v>140</v>
      </c>
      <c r="K13" t="s">
        <v>141</v>
      </c>
      <c r="L13" t="s">
        <v>146</v>
      </c>
      <c r="M13" t="s">
        <v>147</v>
      </c>
      <c r="N13" t="s">
        <v>564</v>
      </c>
      <c r="O13" t="s">
        <v>190</v>
      </c>
      <c r="P13" t="s">
        <v>191</v>
      </c>
      <c r="Q13" t="s">
        <v>177</v>
      </c>
      <c r="R13">
        <v>14.1029547999999</v>
      </c>
      <c r="S13">
        <v>38.287480600000002</v>
      </c>
      <c r="T13" t="s">
        <v>35</v>
      </c>
      <c r="U13" t="s">
        <v>36</v>
      </c>
      <c r="W13" t="s">
        <v>157</v>
      </c>
      <c r="Y13" t="s">
        <v>282</v>
      </c>
      <c r="Z13" t="s">
        <v>283</v>
      </c>
    </row>
    <row r="14" spans="1:29" x14ac:dyDescent="0.35">
      <c r="A14" t="s">
        <v>325</v>
      </c>
      <c r="B14" t="s">
        <v>326</v>
      </c>
      <c r="C14" t="s">
        <v>327</v>
      </c>
      <c r="D14" t="s">
        <v>328</v>
      </c>
      <c r="E14" t="s">
        <v>329</v>
      </c>
      <c r="F14" t="s">
        <v>27</v>
      </c>
      <c r="G14">
        <v>44147</v>
      </c>
      <c r="I14" t="s">
        <v>28</v>
      </c>
      <c r="J14" t="s">
        <v>140</v>
      </c>
      <c r="K14" t="s">
        <v>141</v>
      </c>
      <c r="L14" t="s">
        <v>145</v>
      </c>
      <c r="M14" t="s">
        <v>183</v>
      </c>
      <c r="N14" t="s">
        <v>540</v>
      </c>
      <c r="O14" t="s">
        <v>541</v>
      </c>
      <c r="P14" t="s">
        <v>330</v>
      </c>
      <c r="Q14" t="s">
        <v>145</v>
      </c>
      <c r="R14">
        <v>13.4919609</v>
      </c>
      <c r="S14">
        <v>39.462628899999899</v>
      </c>
      <c r="T14" t="s">
        <v>35</v>
      </c>
      <c r="U14" t="s">
        <v>36</v>
      </c>
      <c r="W14" t="s">
        <v>157</v>
      </c>
      <c r="Y14" t="s">
        <v>631</v>
      </c>
      <c r="Z14" t="s">
        <v>632</v>
      </c>
    </row>
    <row r="15" spans="1:29" x14ac:dyDescent="0.35">
      <c r="A15" t="s">
        <v>331</v>
      </c>
      <c r="B15" t="s">
        <v>332</v>
      </c>
      <c r="C15" t="s">
        <v>333</v>
      </c>
      <c r="D15" t="s">
        <v>334</v>
      </c>
      <c r="E15" t="s">
        <v>335</v>
      </c>
      <c r="F15" t="s">
        <v>27</v>
      </c>
      <c r="G15">
        <v>44145</v>
      </c>
      <c r="I15" t="s">
        <v>28</v>
      </c>
      <c r="J15" t="s">
        <v>140</v>
      </c>
      <c r="K15" t="s">
        <v>141</v>
      </c>
      <c r="L15" t="s">
        <v>146</v>
      </c>
      <c r="M15" t="s">
        <v>147</v>
      </c>
      <c r="N15" t="s">
        <v>564</v>
      </c>
      <c r="O15" t="s">
        <v>190</v>
      </c>
      <c r="P15" t="s">
        <v>125</v>
      </c>
      <c r="Q15" t="s">
        <v>177</v>
      </c>
      <c r="R15">
        <v>14.103159</v>
      </c>
      <c r="S15">
        <v>38.286647199999898</v>
      </c>
      <c r="T15" t="s">
        <v>35</v>
      </c>
      <c r="U15" t="s">
        <v>36</v>
      </c>
      <c r="W15" t="s">
        <v>157</v>
      </c>
      <c r="Y15" t="s">
        <v>633</v>
      </c>
      <c r="Z15" t="s">
        <v>336</v>
      </c>
    </row>
    <row r="16" spans="1:29" x14ac:dyDescent="0.35">
      <c r="A16" t="s">
        <v>337</v>
      </c>
      <c r="B16" t="s">
        <v>338</v>
      </c>
      <c r="C16" t="s">
        <v>339</v>
      </c>
      <c r="D16" t="s">
        <v>340</v>
      </c>
      <c r="E16" t="s">
        <v>341</v>
      </c>
      <c r="F16" t="s">
        <v>27</v>
      </c>
      <c r="G16">
        <v>44268</v>
      </c>
      <c r="I16" t="s">
        <v>28</v>
      </c>
      <c r="J16" t="s">
        <v>140</v>
      </c>
      <c r="K16" t="s">
        <v>141</v>
      </c>
      <c r="L16" t="s">
        <v>145</v>
      </c>
      <c r="M16" t="s">
        <v>183</v>
      </c>
      <c r="N16" t="s">
        <v>536</v>
      </c>
      <c r="O16" t="s">
        <v>537</v>
      </c>
      <c r="P16" t="s">
        <v>342</v>
      </c>
      <c r="Q16" t="s">
        <v>145</v>
      </c>
      <c r="R16">
        <v>13.4960173</v>
      </c>
      <c r="S16">
        <v>39.477142100000002</v>
      </c>
      <c r="T16" t="s">
        <v>35</v>
      </c>
      <c r="U16" t="s">
        <v>36</v>
      </c>
      <c r="W16" t="s">
        <v>157</v>
      </c>
      <c r="Y16" t="s">
        <v>631</v>
      </c>
      <c r="Z16" t="s">
        <v>632</v>
      </c>
    </row>
    <row r="17" spans="1:26" x14ac:dyDescent="0.35">
      <c r="A17" t="s">
        <v>344</v>
      </c>
      <c r="B17" t="s">
        <v>345</v>
      </c>
      <c r="C17" t="s">
        <v>346</v>
      </c>
      <c r="D17" t="s">
        <v>347</v>
      </c>
      <c r="F17" t="s">
        <v>27</v>
      </c>
      <c r="G17">
        <v>44151</v>
      </c>
      <c r="I17" t="s">
        <v>28</v>
      </c>
      <c r="J17" t="s">
        <v>140</v>
      </c>
      <c r="K17" t="s">
        <v>141</v>
      </c>
      <c r="L17" t="s">
        <v>142</v>
      </c>
      <c r="M17" t="s">
        <v>143</v>
      </c>
      <c r="N17" t="s">
        <v>619</v>
      </c>
      <c r="O17" t="s">
        <v>162</v>
      </c>
      <c r="P17" t="s">
        <v>305</v>
      </c>
      <c r="R17">
        <v>14.122229000000001</v>
      </c>
      <c r="S17">
        <v>38.726481399999898</v>
      </c>
      <c r="T17" t="s">
        <v>35</v>
      </c>
      <c r="U17" t="s">
        <v>36</v>
      </c>
      <c r="W17" t="s">
        <v>157</v>
      </c>
      <c r="Y17" t="s">
        <v>620</v>
      </c>
      <c r="Z17" t="s">
        <v>621</v>
      </c>
    </row>
    <row r="18" spans="1:26" x14ac:dyDescent="0.35">
      <c r="A18" t="s">
        <v>364</v>
      </c>
      <c r="B18" t="s">
        <v>365</v>
      </c>
      <c r="C18" t="s">
        <v>366</v>
      </c>
      <c r="D18" t="s">
        <v>367</v>
      </c>
      <c r="E18" t="s">
        <v>126</v>
      </c>
      <c r="F18" t="s">
        <v>27</v>
      </c>
      <c r="G18">
        <v>44268</v>
      </c>
      <c r="I18" t="s">
        <v>28</v>
      </c>
      <c r="J18" t="s">
        <v>140</v>
      </c>
      <c r="K18" t="s">
        <v>141</v>
      </c>
      <c r="L18" t="s">
        <v>142</v>
      </c>
      <c r="M18" t="s">
        <v>143</v>
      </c>
      <c r="N18" t="s">
        <v>614</v>
      </c>
      <c r="O18" t="s">
        <v>144</v>
      </c>
      <c r="P18" t="s">
        <v>368</v>
      </c>
      <c r="Q18" t="s">
        <v>156</v>
      </c>
      <c r="R18">
        <v>13.6280108</v>
      </c>
      <c r="S18">
        <v>38.9873701</v>
      </c>
      <c r="T18" t="s">
        <v>35</v>
      </c>
      <c r="U18" t="s">
        <v>36</v>
      </c>
      <c r="W18" t="s">
        <v>157</v>
      </c>
      <c r="Y18" t="s">
        <v>617</v>
      </c>
      <c r="Z18" t="s">
        <v>618</v>
      </c>
    </row>
    <row r="19" spans="1:26" x14ac:dyDescent="0.35">
      <c r="D19" t="s">
        <v>634</v>
      </c>
      <c r="E19" t="s">
        <v>635</v>
      </c>
      <c r="F19" t="s">
        <v>27</v>
      </c>
      <c r="G19">
        <v>45139</v>
      </c>
      <c r="I19" t="s">
        <v>613</v>
      </c>
      <c r="J19" t="s">
        <v>140</v>
      </c>
      <c r="K19" t="s">
        <v>141</v>
      </c>
      <c r="L19" t="s">
        <v>226</v>
      </c>
      <c r="M19" t="s">
        <v>227</v>
      </c>
      <c r="N19" t="s">
        <v>636</v>
      </c>
      <c r="O19" t="s">
        <v>228</v>
      </c>
      <c r="P19" t="s">
        <v>637</v>
      </c>
      <c r="Q19" t="s">
        <v>145</v>
      </c>
      <c r="T19" t="s">
        <v>35</v>
      </c>
      <c r="U19" t="s">
        <v>36</v>
      </c>
      <c r="V19" t="s">
        <v>550</v>
      </c>
      <c r="W19" t="s">
        <v>157</v>
      </c>
      <c r="Y19" t="s">
        <v>638</v>
      </c>
      <c r="Z19" t="s">
        <v>639</v>
      </c>
    </row>
    <row r="20" spans="1:26" x14ac:dyDescent="0.35">
      <c r="D20" t="s">
        <v>640</v>
      </c>
      <c r="E20" t="s">
        <v>641</v>
      </c>
      <c r="F20" t="s">
        <v>27</v>
      </c>
      <c r="G20">
        <v>45308</v>
      </c>
      <c r="I20" t="s">
        <v>53</v>
      </c>
      <c r="J20" t="s">
        <v>140</v>
      </c>
      <c r="K20" t="s">
        <v>141</v>
      </c>
      <c r="L20" t="s">
        <v>226</v>
      </c>
      <c r="M20" t="s">
        <v>227</v>
      </c>
      <c r="N20" t="s">
        <v>636</v>
      </c>
      <c r="O20" t="s">
        <v>228</v>
      </c>
      <c r="P20" t="s">
        <v>637</v>
      </c>
      <c r="Q20" t="s">
        <v>145</v>
      </c>
      <c r="T20" t="s">
        <v>35</v>
      </c>
      <c r="U20" t="s">
        <v>36</v>
      </c>
      <c r="W20" t="s">
        <v>157</v>
      </c>
      <c r="Y20" t="s">
        <v>638</v>
      </c>
      <c r="Z20" t="s">
        <v>639</v>
      </c>
    </row>
    <row r="21" spans="1:26" x14ac:dyDescent="0.35">
      <c r="A21" t="s">
        <v>375</v>
      </c>
      <c r="B21" t="s">
        <v>376</v>
      </c>
      <c r="C21" t="s">
        <v>377</v>
      </c>
      <c r="D21" t="s">
        <v>378</v>
      </c>
      <c r="E21" t="s">
        <v>379</v>
      </c>
      <c r="F21" t="s">
        <v>27</v>
      </c>
      <c r="G21">
        <v>44602</v>
      </c>
      <c r="I21" t="s">
        <v>28</v>
      </c>
      <c r="J21" t="s">
        <v>140</v>
      </c>
      <c r="K21" t="s">
        <v>141</v>
      </c>
      <c r="L21" t="s">
        <v>145</v>
      </c>
      <c r="M21" t="s">
        <v>183</v>
      </c>
      <c r="N21" t="s">
        <v>642</v>
      </c>
      <c r="O21" t="s">
        <v>185</v>
      </c>
      <c r="P21" t="s">
        <v>380</v>
      </c>
      <c r="Q21" t="s">
        <v>145</v>
      </c>
      <c r="R21">
        <v>13.4683534</v>
      </c>
      <c r="S21">
        <v>39.549388800000003</v>
      </c>
      <c r="T21" t="s">
        <v>35</v>
      </c>
      <c r="U21" t="s">
        <v>36</v>
      </c>
      <c r="W21" t="s">
        <v>157</v>
      </c>
      <c r="Y21" t="s">
        <v>631</v>
      </c>
      <c r="Z21" t="s">
        <v>632</v>
      </c>
    </row>
    <row r="22" spans="1:26" x14ac:dyDescent="0.35">
      <c r="A22" t="s">
        <v>394</v>
      </c>
      <c r="B22" t="s">
        <v>395</v>
      </c>
      <c r="C22" t="s">
        <v>396</v>
      </c>
      <c r="D22" t="s">
        <v>397</v>
      </c>
      <c r="F22" t="s">
        <v>27</v>
      </c>
      <c r="G22">
        <v>44166</v>
      </c>
      <c r="I22" t="s">
        <v>28</v>
      </c>
      <c r="J22" t="s">
        <v>140</v>
      </c>
      <c r="K22" t="s">
        <v>141</v>
      </c>
      <c r="L22" t="s">
        <v>142</v>
      </c>
      <c r="M22" t="s">
        <v>143</v>
      </c>
      <c r="N22" t="s">
        <v>614</v>
      </c>
      <c r="O22" t="s">
        <v>144</v>
      </c>
      <c r="P22" t="s">
        <v>125</v>
      </c>
      <c r="R22">
        <v>13.6296572</v>
      </c>
      <c r="S22">
        <v>38.991473900000003</v>
      </c>
      <c r="T22" t="s">
        <v>35</v>
      </c>
      <c r="U22" t="s">
        <v>36</v>
      </c>
      <c r="W22" t="s">
        <v>157</v>
      </c>
      <c r="Y22" t="s">
        <v>617</v>
      </c>
      <c r="Z22" t="s">
        <v>618</v>
      </c>
    </row>
    <row r="23" spans="1:26" x14ac:dyDescent="0.35">
      <c r="D23" t="s">
        <v>643</v>
      </c>
      <c r="E23" t="s">
        <v>642</v>
      </c>
      <c r="F23" t="s">
        <v>27</v>
      </c>
      <c r="G23">
        <v>44652</v>
      </c>
      <c r="I23" t="s">
        <v>613</v>
      </c>
      <c r="J23" t="s">
        <v>140</v>
      </c>
      <c r="K23" t="s">
        <v>141</v>
      </c>
      <c r="L23" t="s">
        <v>145</v>
      </c>
      <c r="M23" t="s">
        <v>183</v>
      </c>
      <c r="N23" t="s">
        <v>642</v>
      </c>
      <c r="O23" t="s">
        <v>185</v>
      </c>
      <c r="P23" t="s">
        <v>380</v>
      </c>
      <c r="Q23" t="s">
        <v>145</v>
      </c>
      <c r="T23" t="s">
        <v>35</v>
      </c>
      <c r="U23" t="s">
        <v>36</v>
      </c>
      <c r="V23" t="s">
        <v>550</v>
      </c>
      <c r="W23" t="s">
        <v>157</v>
      </c>
      <c r="Y23" t="s">
        <v>644</v>
      </c>
      <c r="Z23" t="s">
        <v>645</v>
      </c>
    </row>
    <row r="24" spans="1:26" x14ac:dyDescent="0.35">
      <c r="A24" t="s">
        <v>456</v>
      </c>
      <c r="B24" t="s">
        <v>457</v>
      </c>
      <c r="C24" t="s">
        <v>458</v>
      </c>
      <c r="D24" t="s">
        <v>459</v>
      </c>
      <c r="E24" t="s">
        <v>460</v>
      </c>
      <c r="F24" t="s">
        <v>27</v>
      </c>
      <c r="G24">
        <v>44647</v>
      </c>
      <c r="I24" t="s">
        <v>28</v>
      </c>
      <c r="J24" t="s">
        <v>140</v>
      </c>
      <c r="K24" t="s">
        <v>141</v>
      </c>
      <c r="L24" t="s">
        <v>142</v>
      </c>
      <c r="M24" t="s">
        <v>143</v>
      </c>
      <c r="N24" t="s">
        <v>614</v>
      </c>
      <c r="O24" t="s">
        <v>144</v>
      </c>
      <c r="P24" t="s">
        <v>125</v>
      </c>
      <c r="R24">
        <v>13.6370401</v>
      </c>
      <c r="S24">
        <v>38.9913284</v>
      </c>
      <c r="T24" t="s">
        <v>35</v>
      </c>
      <c r="U24" t="s">
        <v>36</v>
      </c>
      <c r="W24" t="s">
        <v>157</v>
      </c>
      <c r="Y24" t="s">
        <v>617</v>
      </c>
      <c r="Z24" t="s">
        <v>618</v>
      </c>
    </row>
    <row r="25" spans="1:26" x14ac:dyDescent="0.35">
      <c r="D25" t="s">
        <v>646</v>
      </c>
      <c r="F25" t="s">
        <v>27</v>
      </c>
      <c r="G25">
        <v>45352</v>
      </c>
      <c r="I25" t="s">
        <v>613</v>
      </c>
      <c r="J25" t="s">
        <v>140</v>
      </c>
      <c r="K25" t="s">
        <v>30</v>
      </c>
      <c r="L25" t="s">
        <v>146</v>
      </c>
      <c r="M25" t="s">
        <v>147</v>
      </c>
      <c r="N25" t="s">
        <v>567</v>
      </c>
      <c r="O25" t="s">
        <v>149</v>
      </c>
      <c r="Q25" t="s">
        <v>343</v>
      </c>
      <c r="T25" t="s">
        <v>35</v>
      </c>
      <c r="U25" t="s">
        <v>36</v>
      </c>
      <c r="V25" t="s">
        <v>550</v>
      </c>
      <c r="W25" t="s">
        <v>647</v>
      </c>
      <c r="Y25" t="s">
        <v>648</v>
      </c>
      <c r="Z25" t="s">
        <v>649</v>
      </c>
    </row>
    <row r="26" spans="1:26" x14ac:dyDescent="0.35">
      <c r="D26" t="s">
        <v>650</v>
      </c>
      <c r="E26" t="s">
        <v>651</v>
      </c>
      <c r="F26" t="s">
        <v>27</v>
      </c>
      <c r="G26">
        <v>45200</v>
      </c>
      <c r="I26" t="s">
        <v>613</v>
      </c>
      <c r="J26" t="s">
        <v>140</v>
      </c>
      <c r="K26" t="s">
        <v>141</v>
      </c>
      <c r="L26" t="s">
        <v>146</v>
      </c>
      <c r="M26" t="s">
        <v>147</v>
      </c>
      <c r="N26" t="s">
        <v>564</v>
      </c>
      <c r="O26" t="s">
        <v>190</v>
      </c>
      <c r="P26" t="s">
        <v>191</v>
      </c>
      <c r="Q26" t="s">
        <v>177</v>
      </c>
      <c r="T26" t="s">
        <v>35</v>
      </c>
      <c r="U26" t="s">
        <v>36</v>
      </c>
      <c r="V26" t="s">
        <v>550</v>
      </c>
      <c r="W26" t="s">
        <v>157</v>
      </c>
      <c r="Y26" t="s">
        <v>248</v>
      </c>
      <c r="Z26" t="s">
        <v>249</v>
      </c>
    </row>
    <row r="27" spans="1:26" x14ac:dyDescent="0.35">
      <c r="A27" t="s">
        <v>480</v>
      </c>
      <c r="B27" t="s">
        <v>481</v>
      </c>
      <c r="C27" t="s">
        <v>482</v>
      </c>
      <c r="D27" t="s">
        <v>483</v>
      </c>
      <c r="E27" t="s">
        <v>484</v>
      </c>
      <c r="F27" t="s">
        <v>27</v>
      </c>
      <c r="G27">
        <v>44149</v>
      </c>
      <c r="I27" t="s">
        <v>28</v>
      </c>
      <c r="J27" t="s">
        <v>140</v>
      </c>
      <c r="K27" t="s">
        <v>141</v>
      </c>
      <c r="L27" t="s">
        <v>146</v>
      </c>
      <c r="M27" t="s">
        <v>147</v>
      </c>
      <c r="N27" t="s">
        <v>564</v>
      </c>
      <c r="O27" t="s">
        <v>190</v>
      </c>
      <c r="P27" t="s">
        <v>125</v>
      </c>
      <c r="Q27" t="s">
        <v>177</v>
      </c>
      <c r="R27">
        <v>14.1029383999999</v>
      </c>
      <c r="S27">
        <v>38.287446000000003</v>
      </c>
      <c r="T27" t="s">
        <v>35</v>
      </c>
      <c r="U27" t="s">
        <v>36</v>
      </c>
      <c r="W27" t="s">
        <v>157</v>
      </c>
      <c r="Y27" t="s">
        <v>633</v>
      </c>
      <c r="Z27" t="s">
        <v>485</v>
      </c>
    </row>
    <row r="28" spans="1:26" x14ac:dyDescent="0.35">
      <c r="A28" t="s">
        <v>512</v>
      </c>
      <c r="B28" t="s">
        <v>513</v>
      </c>
      <c r="C28" t="s">
        <v>514</v>
      </c>
      <c r="D28" t="s">
        <v>515</v>
      </c>
      <c r="F28" t="s">
        <v>27</v>
      </c>
      <c r="G28">
        <v>44276</v>
      </c>
      <c r="I28" t="s">
        <v>28</v>
      </c>
      <c r="J28" t="s">
        <v>140</v>
      </c>
      <c r="K28" t="s">
        <v>141</v>
      </c>
      <c r="L28" t="s">
        <v>146</v>
      </c>
      <c r="M28" t="s">
        <v>147</v>
      </c>
      <c r="N28" t="s">
        <v>564</v>
      </c>
      <c r="O28" t="s">
        <v>190</v>
      </c>
      <c r="P28" t="s">
        <v>191</v>
      </c>
      <c r="Q28" t="s">
        <v>177</v>
      </c>
      <c r="R28">
        <v>14.102981700000001</v>
      </c>
      <c r="S28">
        <v>38.286831800000002</v>
      </c>
      <c r="T28" t="s">
        <v>35</v>
      </c>
      <c r="U28" t="s">
        <v>36</v>
      </c>
      <c r="W28" t="s">
        <v>157</v>
      </c>
      <c r="Y28" t="s">
        <v>633</v>
      </c>
      <c r="Z28" t="s">
        <v>516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AF48-EEB5-4552-AF54-9749667BB31F}">
  <dimension ref="A1:AC2"/>
  <sheetViews>
    <sheetView workbookViewId="0"/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15.25" bestFit="1" customWidth="1"/>
    <col min="5" max="5" width="20.5820312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7.25" bestFit="1" customWidth="1"/>
    <col min="10" max="10" width="8.83203125" bestFit="1" customWidth="1"/>
    <col min="11" max="11" width="20.83203125" bestFit="1" customWidth="1"/>
    <col min="12" max="12" width="7.25" bestFit="1" customWidth="1"/>
    <col min="13" max="13" width="21.08203125" bestFit="1" customWidth="1"/>
    <col min="14" max="14" width="15.58203125" bestFit="1" customWidth="1"/>
    <col min="15" max="15" width="21.08203125" bestFit="1" customWidth="1"/>
    <col min="16" max="16" width="8.75" bestFit="1" customWidth="1"/>
    <col min="17" max="17" width="6.75" bestFit="1" customWidth="1"/>
    <col min="18" max="18" width="9.5" bestFit="1" customWidth="1"/>
    <col min="19" max="19" width="9.75" bestFit="1" customWidth="1"/>
    <col min="20" max="20" width="26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17.75" bestFit="1" customWidth="1"/>
    <col min="26" max="26" width="10.83203125" bestFit="1" customWidth="1"/>
    <col min="27" max="27" width="11.83203125" bestFit="1" customWidth="1"/>
    <col min="28" max="28" width="12.5" bestFit="1" customWidth="1"/>
    <col min="29" max="29" width="10.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560</v>
      </c>
      <c r="X1" t="s">
        <v>548</v>
      </c>
      <c r="Y1" t="s">
        <v>22</v>
      </c>
      <c r="Z1" t="s">
        <v>23</v>
      </c>
      <c r="AA1" t="s">
        <v>571</v>
      </c>
      <c r="AB1" t="s">
        <v>572</v>
      </c>
      <c r="AC1" t="s">
        <v>553</v>
      </c>
    </row>
    <row r="2" spans="1:29" x14ac:dyDescent="0.35">
      <c r="D2" t="s">
        <v>652</v>
      </c>
      <c r="E2" t="s">
        <v>653</v>
      </c>
      <c r="F2" t="s">
        <v>27</v>
      </c>
      <c r="G2">
        <v>44493</v>
      </c>
      <c r="H2">
        <v>45657</v>
      </c>
      <c r="I2" t="s">
        <v>28</v>
      </c>
      <c r="J2" t="s">
        <v>140</v>
      </c>
      <c r="K2" t="s">
        <v>141</v>
      </c>
      <c r="L2" t="s">
        <v>142</v>
      </c>
      <c r="M2" t="s">
        <v>143</v>
      </c>
      <c r="N2" t="s">
        <v>654</v>
      </c>
      <c r="O2" t="s">
        <v>556</v>
      </c>
      <c r="P2" t="s">
        <v>655</v>
      </c>
      <c r="Q2" t="s">
        <v>656</v>
      </c>
      <c r="R2" t="s">
        <v>657</v>
      </c>
      <c r="S2" t="s">
        <v>658</v>
      </c>
      <c r="T2" t="s">
        <v>659</v>
      </c>
      <c r="U2" t="s">
        <v>36</v>
      </c>
      <c r="V2" t="s">
        <v>550</v>
      </c>
      <c r="W2" t="s">
        <v>109</v>
      </c>
      <c r="X2" t="s">
        <v>660</v>
      </c>
      <c r="Y2" t="s">
        <v>109</v>
      </c>
      <c r="Z2" t="s">
        <v>661</v>
      </c>
      <c r="AA2" t="s">
        <v>662</v>
      </c>
      <c r="AB2">
        <v>11362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5E98-F781-CD4A-9621-F8B76CF2BC49}">
  <dimension ref="A1:AC15"/>
  <sheetViews>
    <sheetView workbookViewId="0">
      <pane xSplit="4" ySplit="14" topLeftCell="E15" activePane="bottomRight" state="frozen"/>
      <selection pane="topRight" activeCell="E1" sqref="E1"/>
      <selection pane="bottomLeft" activeCell="A13" sqref="A13"/>
      <selection pane="bottomRight" activeCell="G15" sqref="G15"/>
    </sheetView>
  </sheetViews>
  <sheetFormatPr defaultColWidth="10.58203125" defaultRowHeight="15.5" x14ac:dyDescent="0.35"/>
  <cols>
    <col min="1" max="1" width="13.58203125" customWidth="1"/>
    <col min="2" max="2" width="15.83203125" customWidth="1"/>
    <col min="3" max="3" width="12.83203125" customWidth="1"/>
    <col min="4" max="4" width="27" bestFit="1" customWidth="1"/>
    <col min="5" max="5" width="20" customWidth="1"/>
    <col min="6" max="6" width="10.75" customWidth="1"/>
    <col min="7" max="7" width="14.25" customWidth="1"/>
    <col min="8" max="8" width="15.58203125" customWidth="1"/>
    <col min="9" max="9" width="19.08203125" bestFit="1" customWidth="1"/>
    <col min="10" max="10" width="16" customWidth="1"/>
    <col min="11" max="11" width="16.83203125" customWidth="1"/>
    <col min="12" max="12" width="16.08203125" customWidth="1"/>
    <col min="13" max="13" width="17" customWidth="1"/>
    <col min="15" max="15" width="17" customWidth="1"/>
    <col min="20" max="20" width="20" bestFit="1" customWidth="1"/>
    <col min="21" max="21" width="14.83203125" customWidth="1"/>
    <col min="22" max="22" width="15" customWidth="1"/>
    <col min="23" max="23" width="17.33203125" customWidth="1"/>
    <col min="24" max="24" width="20.75" customWidth="1"/>
    <col min="25" max="25" width="16" customWidth="1"/>
    <col min="26" max="26" width="14.33203125" bestFit="1" customWidth="1"/>
    <col min="27" max="27" width="11.33203125" customWidth="1"/>
    <col min="28" max="28" width="12" customWidth="1"/>
  </cols>
  <sheetData>
    <row r="1" spans="1:29" x14ac:dyDescent="0.35">
      <c r="A1" s="39" t="s">
        <v>8</v>
      </c>
      <c r="B1" s="39" t="s">
        <v>10</v>
      </c>
      <c r="C1" s="40" t="s">
        <v>545</v>
      </c>
    </row>
    <row r="2" spans="1:29" x14ac:dyDescent="0.35">
      <c r="A2" s="39"/>
      <c r="B2" s="39"/>
      <c r="C2" s="40"/>
    </row>
    <row r="3" spans="1:29" x14ac:dyDescent="0.35">
      <c r="A3" s="7" t="s">
        <v>140</v>
      </c>
      <c r="B3" s="7" t="s">
        <v>142</v>
      </c>
      <c r="C3" s="8">
        <v>1</v>
      </c>
    </row>
    <row r="4" spans="1:29" x14ac:dyDescent="0.35">
      <c r="A4" s="7"/>
      <c r="B4" s="7"/>
      <c r="C4" s="8"/>
    </row>
    <row r="5" spans="1:29" x14ac:dyDescent="0.35">
      <c r="A5" s="7"/>
      <c r="B5" s="7"/>
      <c r="C5" s="8"/>
    </row>
    <row r="6" spans="1:29" x14ac:dyDescent="0.35">
      <c r="A6" s="7"/>
      <c r="B6" s="7"/>
      <c r="C6" s="8"/>
    </row>
    <row r="7" spans="1:29" x14ac:dyDescent="0.35">
      <c r="A7" s="7"/>
      <c r="B7" s="7"/>
      <c r="C7" s="8"/>
    </row>
    <row r="8" spans="1:29" x14ac:dyDescent="0.35">
      <c r="A8" s="7"/>
      <c r="B8" s="7"/>
      <c r="C8" s="8"/>
    </row>
    <row r="9" spans="1:29" x14ac:dyDescent="0.35">
      <c r="A9" s="7"/>
      <c r="B9" s="7"/>
      <c r="C9" s="8"/>
    </row>
    <row r="10" spans="1:29" x14ac:dyDescent="0.35">
      <c r="A10" s="37" t="s">
        <v>547</v>
      </c>
      <c r="B10" s="37"/>
      <c r="C10" s="9">
        <f>SUM(C3:C9)</f>
        <v>1</v>
      </c>
    </row>
    <row r="12" spans="1:29" x14ac:dyDescent="0.35">
      <c r="A12" s="38" t="s">
        <v>546</v>
      </c>
      <c r="B12" s="38"/>
      <c r="C12" s="38"/>
      <c r="D12" s="38"/>
    </row>
    <row r="13" spans="1:29" x14ac:dyDescent="0.35">
      <c r="A13" s="38"/>
      <c r="B13" s="38"/>
      <c r="C13" s="38"/>
      <c r="D13" s="38"/>
    </row>
    <row r="14" spans="1:29" ht="29" x14ac:dyDescent="0.35">
      <c r="A14" s="13" t="s">
        <v>0</v>
      </c>
      <c r="B14" s="14" t="s">
        <v>1</v>
      </c>
      <c r="C14" s="14" t="s">
        <v>2</v>
      </c>
      <c r="D14" s="14" t="s">
        <v>3</v>
      </c>
      <c r="E14" s="14" t="s">
        <v>4</v>
      </c>
      <c r="F14" s="15" t="s">
        <v>5</v>
      </c>
      <c r="G14" s="16" t="s">
        <v>6</v>
      </c>
      <c r="H14" s="16" t="s">
        <v>552</v>
      </c>
      <c r="I14" s="14" t="s">
        <v>7</v>
      </c>
      <c r="J14" s="17" t="s">
        <v>8</v>
      </c>
      <c r="K14" s="18" t="s">
        <v>9</v>
      </c>
      <c r="L14" s="17" t="s">
        <v>10</v>
      </c>
      <c r="M14" s="18" t="s">
        <v>11</v>
      </c>
      <c r="N14" s="17" t="s">
        <v>12</v>
      </c>
      <c r="O14" s="18" t="s">
        <v>13</v>
      </c>
      <c r="P14" s="17" t="s">
        <v>14</v>
      </c>
      <c r="Q14" s="17" t="s">
        <v>15</v>
      </c>
      <c r="R14" s="19" t="s">
        <v>16</v>
      </c>
      <c r="S14" s="19" t="s">
        <v>17</v>
      </c>
      <c r="T14" s="20" t="s">
        <v>18</v>
      </c>
      <c r="U14" s="21" t="s">
        <v>19</v>
      </c>
      <c r="V14" s="21" t="s">
        <v>20</v>
      </c>
      <c r="W14" s="22" t="s">
        <v>560</v>
      </c>
      <c r="X14" s="22" t="s">
        <v>548</v>
      </c>
      <c r="Y14" s="21" t="s">
        <v>22</v>
      </c>
      <c r="Z14" s="21" t="s">
        <v>23</v>
      </c>
      <c r="AA14" s="23" t="s">
        <v>571</v>
      </c>
      <c r="AB14" s="23" t="s">
        <v>572</v>
      </c>
      <c r="AC14" s="24" t="s">
        <v>553</v>
      </c>
    </row>
    <row r="15" spans="1:29" x14ac:dyDescent="0.35">
      <c r="A15" s="25"/>
      <c r="B15" s="26"/>
      <c r="C15" s="26"/>
      <c r="D15" s="26" t="s">
        <v>652</v>
      </c>
      <c r="E15" s="26" t="s">
        <v>653</v>
      </c>
      <c r="F15" s="26" t="s">
        <v>549</v>
      </c>
      <c r="G15" s="27">
        <v>44493</v>
      </c>
      <c r="H15" s="27">
        <v>45657</v>
      </c>
      <c r="I15" s="26" t="s">
        <v>28</v>
      </c>
      <c r="J15" s="26" t="s">
        <v>140</v>
      </c>
      <c r="K15" s="26" t="s">
        <v>141</v>
      </c>
      <c r="L15" s="26" t="s">
        <v>142</v>
      </c>
      <c r="M15" s="26" t="s">
        <v>143</v>
      </c>
      <c r="N15" s="26" t="s">
        <v>654</v>
      </c>
      <c r="O15" s="26" t="s">
        <v>556</v>
      </c>
      <c r="P15" s="26" t="s">
        <v>655</v>
      </c>
      <c r="Q15" s="26" t="s">
        <v>656</v>
      </c>
      <c r="R15" s="26" t="s">
        <v>657</v>
      </c>
      <c r="S15" s="26" t="s">
        <v>658</v>
      </c>
      <c r="T15" s="26" t="s">
        <v>659</v>
      </c>
      <c r="U15" s="28" t="s">
        <v>36</v>
      </c>
      <c r="V15" s="28" t="s">
        <v>550</v>
      </c>
      <c r="W15" s="28" t="s">
        <v>109</v>
      </c>
      <c r="X15" s="28" t="s">
        <v>660</v>
      </c>
      <c r="Y15" s="29" t="s">
        <v>109</v>
      </c>
      <c r="Z15" s="30" t="s">
        <v>661</v>
      </c>
      <c r="AA15" s="31" t="s">
        <v>662</v>
      </c>
      <c r="AB15" s="31">
        <v>11362</v>
      </c>
      <c r="AC15" s="32"/>
    </row>
  </sheetData>
  <mergeCells count="5">
    <mergeCell ref="A1:A2"/>
    <mergeCell ref="B1:B2"/>
    <mergeCell ref="C1:C2"/>
    <mergeCell ref="A10:B10"/>
    <mergeCell ref="A12:D13"/>
  </mergeCells>
  <conditionalFormatting sqref="A15:S15">
    <cfRule type="expression" dxfId="5" priority="1">
      <formula>$F15="Closed"</formula>
    </cfRule>
  </conditionalFormatting>
  <conditionalFormatting sqref="C14:C15">
    <cfRule type="duplicateValues" dxfId="4" priority="160"/>
    <cfRule type="duplicateValues" dxfId="3" priority="161"/>
    <cfRule type="duplicateValues" dxfId="2" priority="162"/>
  </conditionalFormatting>
  <conditionalFormatting sqref="C15">
    <cfRule type="duplicateValues" dxfId="1" priority="163"/>
  </conditionalFormatting>
  <conditionalFormatting sqref="F15">
    <cfRule type="containsText" dxfId="0" priority="5" operator="containsText" text="Closed">
      <formula>NOT(ISERROR(SEARCH("Closed",F15)))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513A-38F9-4D1B-B6F2-B869A4358F54}">
  <dimension ref="A1:AC5"/>
  <sheetViews>
    <sheetView workbookViewId="0"/>
  </sheetViews>
  <sheetFormatPr defaultRowHeight="15.5" x14ac:dyDescent="0.35"/>
  <cols>
    <col min="1" max="1" width="13.75" bestFit="1" customWidth="1"/>
    <col min="2" max="2" width="20" bestFit="1" customWidth="1"/>
    <col min="3" max="3" width="13" bestFit="1" customWidth="1"/>
    <col min="4" max="4" width="34.33203125" bestFit="1" customWidth="1"/>
    <col min="5" max="5" width="31.33203125" bestFit="1" customWidth="1"/>
    <col min="6" max="6" width="12.08203125" bestFit="1" customWidth="1"/>
    <col min="7" max="7" width="16" bestFit="1" customWidth="1"/>
    <col min="8" max="8" width="17.33203125" bestFit="1" customWidth="1"/>
    <col min="9" max="9" width="17.25" bestFit="1" customWidth="1"/>
    <col min="10" max="10" width="8.83203125" bestFit="1" customWidth="1"/>
    <col min="11" max="11" width="20.83203125" bestFit="1" customWidth="1"/>
    <col min="12" max="12" width="13" bestFit="1" customWidth="1"/>
    <col min="13" max="13" width="21.08203125" bestFit="1" customWidth="1"/>
    <col min="14" max="14" width="11.83203125" bestFit="1" customWidth="1"/>
    <col min="15" max="15" width="21.08203125" bestFit="1" customWidth="1"/>
    <col min="16" max="16" width="14.33203125" bestFit="1" customWidth="1"/>
    <col min="17" max="17" width="6.75" bestFit="1" customWidth="1"/>
    <col min="18" max="19" width="10.83203125" bestFit="1" customWidth="1"/>
    <col min="20" max="20" width="22.5" bestFit="1" customWidth="1"/>
    <col min="21" max="21" width="16.33203125" bestFit="1" customWidth="1"/>
    <col min="22" max="22" width="16.75" bestFit="1" customWidth="1"/>
    <col min="23" max="23" width="19.33203125" bestFit="1" customWidth="1"/>
    <col min="24" max="24" width="24" bestFit="1" customWidth="1"/>
    <col min="25" max="25" width="23.33203125" bestFit="1" customWidth="1"/>
    <col min="26" max="26" width="10.83203125" bestFit="1" customWidth="1"/>
    <col min="27" max="27" width="11.83203125" bestFit="1" customWidth="1"/>
    <col min="28" max="28" width="12.5" bestFit="1" customWidth="1"/>
    <col min="29" max="29" width="10.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548</v>
      </c>
      <c r="Y1" t="s">
        <v>22</v>
      </c>
      <c r="Z1" t="s">
        <v>23</v>
      </c>
      <c r="AA1" t="s">
        <v>571</v>
      </c>
      <c r="AB1" t="s">
        <v>572</v>
      </c>
      <c r="AC1" t="s">
        <v>553</v>
      </c>
    </row>
    <row r="2" spans="1:29" x14ac:dyDescent="0.35">
      <c r="A2" t="s">
        <v>348</v>
      </c>
      <c r="B2" t="s">
        <v>349</v>
      </c>
      <c r="C2" t="s">
        <v>350</v>
      </c>
      <c r="D2" t="s">
        <v>351</v>
      </c>
      <c r="E2" t="s">
        <v>352</v>
      </c>
      <c r="F2" t="s">
        <v>27</v>
      </c>
      <c r="G2">
        <v>43968</v>
      </c>
      <c r="I2" t="s">
        <v>28</v>
      </c>
      <c r="J2" t="s">
        <v>140</v>
      </c>
      <c r="K2" t="s">
        <v>141</v>
      </c>
      <c r="L2" t="s">
        <v>146</v>
      </c>
      <c r="M2" t="s">
        <v>147</v>
      </c>
      <c r="N2" t="s">
        <v>196</v>
      </c>
      <c r="O2" t="s">
        <v>197</v>
      </c>
      <c r="P2" t="s">
        <v>108</v>
      </c>
      <c r="Q2" t="s">
        <v>177</v>
      </c>
      <c r="R2">
        <v>14.1025835</v>
      </c>
      <c r="S2">
        <v>37.958741500000002</v>
      </c>
      <c r="T2" t="s">
        <v>35</v>
      </c>
      <c r="U2" t="s">
        <v>36</v>
      </c>
      <c r="W2" t="s">
        <v>199</v>
      </c>
      <c r="Y2" t="s">
        <v>677</v>
      </c>
      <c r="Z2" t="s">
        <v>678</v>
      </c>
    </row>
    <row r="3" spans="1:29" x14ac:dyDescent="0.35">
      <c r="A3" t="s">
        <v>446</v>
      </c>
      <c r="B3" t="s">
        <v>447</v>
      </c>
      <c r="C3" t="s">
        <v>448</v>
      </c>
      <c r="D3" t="s">
        <v>449</v>
      </c>
      <c r="E3" t="s">
        <v>450</v>
      </c>
      <c r="F3" t="s">
        <v>27</v>
      </c>
      <c r="G3">
        <v>44575</v>
      </c>
      <c r="I3" t="s">
        <v>28</v>
      </c>
      <c r="J3" t="s">
        <v>140</v>
      </c>
      <c r="K3" t="s">
        <v>141</v>
      </c>
      <c r="L3" t="s">
        <v>146</v>
      </c>
      <c r="M3" t="s">
        <v>147</v>
      </c>
      <c r="N3" t="s">
        <v>559</v>
      </c>
      <c r="O3" t="s">
        <v>451</v>
      </c>
      <c r="P3" t="s">
        <v>108</v>
      </c>
      <c r="Q3" t="s">
        <v>177</v>
      </c>
      <c r="R3">
        <v>14.1059968999999</v>
      </c>
      <c r="S3">
        <v>38.458384600000002</v>
      </c>
      <c r="T3" t="s">
        <v>35</v>
      </c>
      <c r="U3" t="s">
        <v>36</v>
      </c>
      <c r="W3" t="s">
        <v>199</v>
      </c>
      <c r="Y3" t="s">
        <v>679</v>
      </c>
      <c r="Z3" t="s">
        <v>680</v>
      </c>
    </row>
    <row r="4" spans="1:29" x14ac:dyDescent="0.35">
      <c r="A4" t="s">
        <v>192</v>
      </c>
      <c r="B4" t="s">
        <v>193</v>
      </c>
      <c r="C4" t="s">
        <v>194</v>
      </c>
      <c r="D4" t="s">
        <v>195</v>
      </c>
      <c r="F4" t="s">
        <v>27</v>
      </c>
      <c r="G4">
        <v>44149</v>
      </c>
      <c r="I4" t="s">
        <v>28</v>
      </c>
      <c r="J4" t="s">
        <v>140</v>
      </c>
      <c r="K4" t="s">
        <v>141</v>
      </c>
      <c r="L4" t="s">
        <v>146</v>
      </c>
      <c r="M4" t="s">
        <v>147</v>
      </c>
      <c r="N4" t="s">
        <v>196</v>
      </c>
      <c r="O4" t="s">
        <v>197</v>
      </c>
      <c r="P4" t="s">
        <v>198</v>
      </c>
      <c r="Q4" t="s">
        <v>177</v>
      </c>
      <c r="R4">
        <v>13.9938392</v>
      </c>
      <c r="S4">
        <v>37.824313099999998</v>
      </c>
      <c r="T4" t="s">
        <v>35</v>
      </c>
      <c r="U4" t="s">
        <v>36</v>
      </c>
      <c r="W4" t="s">
        <v>199</v>
      </c>
      <c r="Y4" t="s">
        <v>677</v>
      </c>
      <c r="Z4" t="s">
        <v>678</v>
      </c>
    </row>
    <row r="5" spans="1:29" x14ac:dyDescent="0.35">
      <c r="A5" t="s">
        <v>381</v>
      </c>
      <c r="B5" t="s">
        <v>382</v>
      </c>
      <c r="C5" t="s">
        <v>383</v>
      </c>
      <c r="D5" t="s">
        <v>384</v>
      </c>
      <c r="F5" t="s">
        <v>27</v>
      </c>
      <c r="G5">
        <v>44147</v>
      </c>
      <c r="I5" t="s">
        <v>28</v>
      </c>
      <c r="J5" t="s">
        <v>140</v>
      </c>
      <c r="K5" t="s">
        <v>141</v>
      </c>
      <c r="L5" t="s">
        <v>146</v>
      </c>
      <c r="M5" t="s">
        <v>147</v>
      </c>
      <c r="N5" t="s">
        <v>196</v>
      </c>
      <c r="O5" t="s">
        <v>197</v>
      </c>
      <c r="P5" t="s">
        <v>385</v>
      </c>
      <c r="Q5" t="s">
        <v>177</v>
      </c>
      <c r="R5">
        <v>14.123071299999999</v>
      </c>
      <c r="S5">
        <v>37.869643799999999</v>
      </c>
      <c r="T5" t="s">
        <v>35</v>
      </c>
      <c r="U5" t="s">
        <v>36</v>
      </c>
      <c r="W5" t="s">
        <v>199</v>
      </c>
      <c r="Y5" t="s">
        <v>677</v>
      </c>
      <c r="Z5" t="s">
        <v>678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8BC8534364C48A63B1069F7B3BB42" ma:contentTypeVersion="13" ma:contentTypeDescription="Create a new document." ma:contentTypeScope="" ma:versionID="c4295642421c04ef0afe778b71edaacf">
  <xsd:schema xmlns:xsd="http://www.w3.org/2001/XMLSchema" xmlns:xs="http://www.w3.org/2001/XMLSchema" xmlns:p="http://schemas.microsoft.com/office/2006/metadata/properties" xmlns:ns2="7d15b203-eace-4d57-8c9d-3b9e4517397d" xmlns:ns3="026f3309-5e61-4074-88ca-8272f951cf98" targetNamespace="http://schemas.microsoft.com/office/2006/metadata/properties" ma:root="true" ma:fieldsID="50cbbfd6dbb487bf4c5e9afed373d135" ns2:_="" ns3:_="">
    <xsd:import namespace="7d15b203-eace-4d57-8c9d-3b9e4517397d"/>
    <xsd:import namespace="026f3309-5e61-4074-88ca-8272f951cf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5b203-eace-4d57-8c9d-3b9e451739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3309-5e61-4074-88ca-8272f951cf9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b869631-784a-49db-ba21-99c97edfbf63}" ma:internalName="TaxCatchAll" ma:showField="CatchAllData" ma:web="026f3309-5e61-4074-88ca-8272f951cf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6f3309-5e61-4074-88ca-8272f951cf98" xsi:nil="true"/>
    <lcf76f155ced4ddcb4097134ff3c332f xmlns="7d15b203-eace-4d57-8c9d-3b9e4517397d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E9CC10-564D-4E14-83A8-9B7CFC8008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15b203-eace-4d57-8c9d-3b9e4517397d"/>
    <ds:schemaRef ds:uri="026f3309-5e61-4074-88ca-8272f951c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592B3D-6F07-4BA5-A3D0-0696D992C17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2B09CBB-9412-4F61-A80C-84F73638337A}">
  <ds:schemaRefs>
    <ds:schemaRef ds:uri="http://schemas.microsoft.com/office/2006/metadata/properties"/>
    <ds:schemaRef ds:uri="http://schemas.microsoft.com/office/infopath/2007/PartnerControls"/>
    <ds:schemaRef ds:uri="026f3309-5e61-4074-88ca-8272f951cf98"/>
    <ds:schemaRef ds:uri="7d15b203-eace-4d57-8c9d-3b9e4517397d"/>
  </ds:schemaRefs>
</ds:datastoreItem>
</file>

<file path=customXml/itemProps4.xml><?xml version="1.0" encoding="utf-8"?>
<ds:datastoreItem xmlns:ds="http://schemas.openxmlformats.org/officeDocument/2006/customXml" ds:itemID="{DDC4987E-C53D-4A04-A97D-03C3485F7B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All_Managed</vt:lpstr>
      <vt:lpstr>Community Resource Centers</vt:lpstr>
      <vt:lpstr>ANE - Q</vt:lpstr>
      <vt:lpstr>CRDO - Q</vt:lpstr>
      <vt:lpstr>DEC - Q</vt:lpstr>
      <vt:lpstr>Gurmuu - Q</vt:lpstr>
      <vt:lpstr>Gurmuu</vt:lpstr>
      <vt:lpstr>IOM -Q</vt:lpstr>
      <vt:lpstr>OSSHD - Q</vt:lpstr>
      <vt:lpstr>PAD - Q</vt:lpstr>
      <vt:lpstr>PAD</vt:lpstr>
      <vt:lpstr>UNHCR -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PAUDEL Sujan</dc:creator>
  <cp:lastModifiedBy>ABEBE Mezgebedingil</cp:lastModifiedBy>
  <dcterms:created xsi:type="dcterms:W3CDTF">2023-11-17T08:55:18Z</dcterms:created>
  <dcterms:modified xsi:type="dcterms:W3CDTF">2025-03-05T12:17:51Z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2023-11-17T11:52:08Z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bda9d661-9464-4c75-a326-214db5f62cce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0x01010000A8BC8534364C48A63B1069F7B3BB42</vt:lpwstr>
  </property>
  <property fmtid="{D5CDD505-2E9C-101B-9397-08002B2CF9AE}" pid="10" name="MediaServiceImageTags">
    <vt:lpwstr/>
  </property>
</Properties>
</file>